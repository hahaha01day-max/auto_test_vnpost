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ơn vị vận tải" sheetId="1" r:id="rId5"/>
  </sheets>
  <definedNames/>
  <calcPr/>
</workbook>
</file>

<file path=xl/sharedStrings.xml><?xml version="1.0" encoding="utf-8"?>
<sst xmlns="http://schemas.openxmlformats.org/spreadsheetml/2006/main" count="778" uniqueCount="375">
  <si>
    <t>Chức năng</t>
  </si>
  <si>
    <t>QUẢN LÝ ĐẶT HÀNG</t>
  </si>
  <si>
    <t>Mã Testcase</t>
  </si>
  <si>
    <t>Vantai</t>
  </si>
  <si>
    <t>Tổng các tình huống kiểm thử</t>
  </si>
  <si>
    <t>Chưa thực hiện</t>
  </si>
  <si>
    <t>Đạt yêu cầu</t>
  </si>
  <si>
    <t>Không đạt yêu cầu</t>
  </si>
  <si>
    <t>Thực hiện sau</t>
  </si>
  <si>
    <t>Không phải thực hiện</t>
  </si>
  <si>
    <t>ID</t>
  </si>
  <si>
    <t>Tình huống</t>
  </si>
  <si>
    <t>Điều kiện cần có</t>
  </si>
  <si>
    <t>Các bước thực hiện</t>
  </si>
  <si>
    <t>Ưu tiên
(Cao/ TB/ Thấp)</t>
  </si>
  <si>
    <t>Ứng dụng/ màn hình</t>
  </si>
  <si>
    <t>Kết quả mong  muốn</t>
  </si>
  <si>
    <t>Kết quả thực tế</t>
  </si>
  <si>
    <t>Kết quả</t>
  </si>
  <si>
    <t>Người thực hiện</t>
  </si>
  <si>
    <t>Ngày thực hiện</t>
  </si>
  <si>
    <t>KIỂM TRA PERMISSION</t>
  </si>
  <si>
    <t>Kiểm tra truy cập đơn vị vận chuyển role cấp tổng công ty</t>
  </si>
  <si>
    <t>1. Truy cập Vận chuyển
2. Chọn Đơn vị vận chuyển</t>
  </si>
  <si>
    <t>TB</t>
  </si>
  <si>
    <t>Quản lý đơn vị vận chuyển</t>
  </si>
  <si>
    <t>Hiển thị đơn vị vận chuyển cấp tổng ty</t>
  </si>
  <si>
    <t>Pass</t>
  </si>
  <si>
    <t>Kiểm tra truy cập đơn vận chuyển role cấp tổng công ty</t>
  </si>
  <si>
    <t>1. Truy cập Vận chuyển
2. Chọn Đơn vận chuyển</t>
  </si>
  <si>
    <t>Quản lý đơn vận chuyển</t>
  </si>
  <si>
    <t>Hiển thị đơn vận chuyển phát sinh ở cấp tổng ty</t>
  </si>
  <si>
    <t>Kiểm tra truy cập nhân viên vận chuyển role cấp tổng công ty</t>
  </si>
  <si>
    <t>1. Truy cập Vận chuyển
2. Chọn Nhân viên vận chuyển</t>
  </si>
  <si>
    <t>Quản lý nhân viên vận chuyển</t>
  </si>
  <si>
    <t>Hiển thị nhân viên vận chuyển cấp tổng ty</t>
  </si>
  <si>
    <t>Kiểm tra truy cập đơn vị vận chuyển role cấp tỉnh</t>
  </si>
  <si>
    <t>Kiểm tra truy cập đơn vận chuyển role cấp tỉnh</t>
  </si>
  <si>
    <t>Kiểm tra truy cập nhân viên vận chuyển role cấp tỉnh</t>
  </si>
  <si>
    <t>Kiểm tra truy cập đơn vị vận chuyển role cấp điểm bán/kho</t>
  </si>
  <si>
    <t>Kiểm tra truy cập đơn vận chuyển role cấp điểm bán/kho</t>
  </si>
  <si>
    <t>Kiểm tra truy cập nhân viên vận chuyển role cấp điểm bán/kho</t>
  </si>
  <si>
    <t>KIỂM THỬ CHỨC NĂNG</t>
  </si>
  <si>
    <t>Đơn vận chuyển</t>
  </si>
  <si>
    <t>Kiểm tra giao diện màn hình Quản lý đơn vận chuyển</t>
  </si>
  <si>
    <t>User có quyền truy cập màn hình vận chuyển</t>
  </si>
  <si>
    <t>1. Truy cập menu Vận chuyển → Đơn vận chuyển.2. Quan sát giao diện màn hình.</t>
  </si>
  <si>
    <t>Vận chuyển → Đơn vận chuyển</t>
  </si>
  <si>
    <t>Hiển thị đầy đủ bộ lọc (Mã VĐ/Mã phiếu chuyển, ĐVVC, Trạng thái VC, Trạng thái TT), nút Tìm kiếm, Xóa lọc, Thêm mới. 
Bảng dữ liệu hiển thị đầy đủ các cột: Mã VĐ, Mã phiếu chuyển, ĐVVC, Nhân viên VC, Biển số, Trạng thái VC, Số tiền, Đã TT, Trạng thái TT, Hành động.</t>
  </si>
  <si>
    <t>Kiểm tra giao diện popup Chi tiết đơn vận chuyển</t>
  </si>
  <si>
    <t>Có ít nhất 1 đơn vận chuyển</t>
  </si>
  <si>
    <t>1. Chọn đơn vận chuyển.
2. Click "Chi tiết".</t>
  </si>
  <si>
    <t>Popup Chi tiết đơn vận chuyển</t>
  </si>
  <si>
    <t>Hiển thị đầy đủ thông tin: Mã vận đơn, Mã phiếu chuyển, ĐVVC, Nhân viên VC, Biển số xe, Trạng thái vận chuyển, Số tiền, Đã thanh toán, Còn nợ, Trạng thái thanh toán. 
Hiển thị các button: Đóng, Ghi nhận bồi thường, Đổi trạng thái vận chuyển
Hiển thị các nút chức năng đúng theo trạng thái đơn.</t>
  </si>
  <si>
    <t>Kiểm tra giao diện popup Thanh toán đơn vận chuyển</t>
  </si>
  <si>
    <t>Đơn vận chuyển còn công nợ</t>
  </si>
  <si>
    <t>1. Chọn đơn có nút Thanh toán.2. Click Thanh toán.</t>
  </si>
  <si>
    <t>Popup Thanh toán đơn vận chuyển</t>
  </si>
  <si>
    <t>Hiển thị đầy đủ thông tin vận đơn, số tiền ship, đã thanh toán, còn nợ, ô nhập số tiền thanh toán, phương thức thanh toán, ghi chú và nút Lưu/Hủy.</t>
  </si>
  <si>
    <t>Kiểm tra chuyển trạng thái vận chuyển từ "Đang chờ" sang "Đang chuyển"</t>
  </si>
  <si>
    <t>Có đơn vận chuyển trạng thái Đang chờ</t>
  </si>
  <si>
    <t>1. Mở chi tiết đơn.
2. Chọn Đổi trạng thái vận chuyển.
3. Chuyển sang Đang chuyển.</t>
  </si>
  <si>
    <t>Cao</t>
  </si>
  <si>
    <t>Chi tiết đơn vận chuyển</t>
  </si>
  <si>
    <t>Hệ thống cập nhật trạng thái vận chuyển thành "Đang chuyển".</t>
  </si>
  <si>
    <t>Hệ thông báo " Lỗi hệ thống"</t>
  </si>
  <si>
    <t>Fail</t>
  </si>
  <si>
    <t>Kiểm tra chuyển trạng thái vận chuyển từ "Đang chuyển" sang "Đã giao"</t>
  </si>
  <si>
    <t>Có đơn vận chuyển trạng thái Đang chuyển</t>
  </si>
  <si>
    <t>1. Mở chi tiết đơn.2. Đổi trạng thái sang Đã giao.</t>
  </si>
  <si>
    <t>Hệ thống cập nhật trạng thái thành "Đã giao".</t>
  </si>
  <si>
    <t>Kiểm tra thanh toán đơn vận chuyển toàn bộ số tiền ship</t>
  </si>
  <si>
    <t>Đơn còn nợ phí ship</t>
  </si>
  <si>
    <t>1. Mở popup Thanh toán.
2. Nhập đúng số tiền còn nợ.
3. Lưu.</t>
  </si>
  <si>
    <t>Thanh toán đơn vận chuyển</t>
  </si>
  <si>
    <t>Hệ thống ghi nhận thanh toán thành công. 
Còn nợ = 0. 
Trạng thái thanh toán = Đã thanh toán.</t>
  </si>
  <si>
    <t>Kiểm tra thanh toán nhiều lần cho cùng đơn vận chuyển</t>
  </si>
  <si>
    <t>1. Thanh toán một phần.
2. Thanh toán phần còn lại.</t>
  </si>
  <si>
    <t>Hệ thống ghi nhận nhiều lần thanh toán. Tổng tiền đã thanh toán bằng số tiền ship.</t>
  </si>
  <si>
    <t>Kiểm tra không cho thanh toán vượt quá công nợ vận chuyển</t>
  </si>
  <si>
    <t>Đơn còn nợ 10.000đ</t>
  </si>
  <si>
    <t>1. Nhập số tiền thanh toán lớn hơn 10.000đ.
2. Lưu.</t>
  </si>
  <si>
    <t>Hiển thị mặc định về số tiền lớn nhất có thể thanh toán</t>
  </si>
  <si>
    <t>Kiểm tra số tiền bồi thường không làm thay đổi số tiền đơn vận chuyển</t>
  </si>
  <si>
    <t>Có đơn vận chuyển phát sinh bồi thường</t>
  </si>
  <si>
    <t>1. Ghi nhận bồi thường 100.000đ.
2. Kiểm tra lại số tiền vận chuyển.</t>
  </si>
  <si>
    <t>Số tiền vận chuyển vẫn giữ nguyên. Không cộng/trừ theo tiền bồi thường.</t>
  </si>
  <si>
    <t>Kiểm tra số tiền bồi thường không ảnh hưởng công nợ vận chuyển</t>
  </si>
  <si>
    <t>Có đơn có công nợ vận chuyển và bồi thường</t>
  </si>
  <si>
    <t>1. Ghi nhận bồi thường.
2. Kiểm tra công nợ vận chuyển.</t>
  </si>
  <si>
    <t>Công nợ vận chuyển chỉ tính theo phí ship. Không bị ảnh hưởng bởi tiền bồi thường.</t>
  </si>
  <si>
    <t>Kiểm tra số tiền thanh toán chỉ ghi nhận cho phí ship</t>
  </si>
  <si>
    <t>1. Ghi nhận bồi thường.
2. Thực hiện thanh toán phí vận chuyển.</t>
  </si>
  <si>
    <t>Số tiền thanh toán chỉ làm giảm công nợ vận chuyển. Không làm giảm tiền bồi thường.</t>
  </si>
  <si>
    <t>Kiểm tra sinh đơn vận chuyển khi TCT chuyển kho xuống tỉnh</t>
  </si>
  <si>
    <t>Có phiếu chuyển kho từ TCT xuống tỉnh</t>
  </si>
  <si>
    <t>1. Tạo phiếu chuyển kho.
2. Xác nhận xuất kho.</t>
  </si>
  <si>
    <t>Chuyển kho → Vận chuyển</t>
  </si>
  <si>
    <t>Hệ thống sinh đơn vận chuyển tương ứng.</t>
  </si>
  <si>
    <t>Không hiển thị button tạo đơn vận chuyển</t>
  </si>
  <si>
    <t>Kiểm tra sinh đơn vận chuyển khi tỉnh chuyển kho xuống điểm bán</t>
  </si>
  <si>
    <t>Có phiếu chuyển kho từ tỉnh xuống điểm bán</t>
  </si>
  <si>
    <t>Kiểm tra ghi nhận bồi thường khi điểm nhận xác nhận thiếu hàng</t>
  </si>
  <si>
    <t>Có phiếu chuyển kho đã giao và thiếu hàng</t>
  </si>
  <si>
    <t>1. Điểm nhận xác nhận nhận thiếu hàng.
2. Chọn Ghi nhận bồi thường.</t>
  </si>
  <si>
    <t>Hệ thống cho phép nhập số tiền bồi thường và ghi nhận thành công.</t>
  </si>
  <si>
    <t>Kiểm tra ghi nhận bồi thường khi nhận đủ hàng</t>
  </si>
  <si>
    <t>Phiếu nhận đủ số lượng</t>
  </si>
  <si>
    <t>1. Mở chi tiết đơn.
2. Thực hiện ghi nhận bồi thường.</t>
  </si>
  <si>
    <t>Hệ thống cho ghi nhận số tiền bổi thường do hàng hỏng trong quá tình kiểm tra lại</t>
  </si>
  <si>
    <t>Kiểm tra lịch sử thanh toán đơn vận chuyển</t>
  </si>
  <si>
    <t>Đơn đã thanh toán nhiều lần</t>
  </si>
  <si>
    <t>1. Thanh toán nhiều lần.
2. Mở chi tiết đơn.</t>
  </si>
  <si>
    <t>Hiển thị tổng đã thanh toán.</t>
  </si>
  <si>
    <t>Kiểm tra tìm kiếm đơn vận chuyển theo mã vận đơn</t>
  </si>
  <si>
    <t>Có dữ liệu vận đơn</t>
  </si>
  <si>
    <t>1. Nhập mã vận đơn.
2. Tìm kiếm.</t>
  </si>
  <si>
    <t>Hiển thị đúng đơn vận chuyển tương ứng.</t>
  </si>
  <si>
    <t>Kiểm tra lọc theo trạng thái vận chuyển</t>
  </si>
  <si>
    <t>Có dữ liệu nhiều trạng thái</t>
  </si>
  <si>
    <t>1. Chọn trạng thái Đang chờ/Đang chuyển/Đã giao.
2. Tìm kiếm.</t>
  </si>
  <si>
    <t>Chỉ hiển thị các đơn thuộc trạng thái được chọn.</t>
  </si>
  <si>
    <t>Kiểm tra lọc theo trạng thái thanh toán</t>
  </si>
  <si>
    <t>Có dữ liệu nhiều trạng thái thanh toán</t>
  </si>
  <si>
    <t>1. Chọn trạng thái thanh toán.
2. Tìm kiếm.</t>
  </si>
  <si>
    <t>Hiển thị đúng danh sách theo trạng thái thanh toán đã chọn.</t>
  </si>
  <si>
    <t>Kiểm tra chọn phương thức thanh toán</t>
  </si>
  <si>
    <t xml:space="preserve">1. Chọn trạng thái thanh toán.
2. Chọn từng phương thức </t>
  </si>
  <si>
    <t>Ghi nhận đúng phương thức đã thanh toán</t>
  </si>
  <si>
    <t>Kiểm tra ghi nhận tổng số tiền bồi thường</t>
  </si>
  <si>
    <t>1. Chọn đơn đã ghi nhận bồi thường lần 1
2. Tiếp tục ghi nhận bồi thường</t>
  </si>
  <si>
    <t>Hiển thị lần lượt các phiếu ghi nợ ở tab lịch sử bồi thường của công nợ đơn vị vận tải</t>
  </si>
  <si>
    <t>Đơn vị vận chuyển</t>
  </si>
  <si>
    <t xml:space="preserve">Kiểm tra giao diện </t>
  </si>
  <si>
    <t>1. Chọn đơn vị vận chuyển</t>
  </si>
  <si>
    <t>Hiển thị title" Quản lý đơn vị vận chuyển"
Hiển thị ô tìm kiếm theo tên/mã
Hiển thị bộ lọc loại ( Bên ngoài/ Nội bộ)
Hiển thị trạng thái hoạt động
Button thêm mới
Bảng danh sách đơn vị vận chuyển với các cột: Mã, Tên đơn vị, Loại, Trạng thái, Tổng còn nợ, Hành động
Phân trang</t>
  </si>
  <si>
    <t>Kiểm tra tìm kiếm theo tên/mã</t>
  </si>
  <si>
    <t>1. Nhập tên/mã đơn vị vận chuyển
2. Tìm kiếm</t>
  </si>
  <si>
    <t>Hiển thị danh sách đơn vị có thông tin tương ứng</t>
  </si>
  <si>
    <t>Kiểm tra bộ lọc loại</t>
  </si>
  <si>
    <t>1. Chọn phân loại Nội bộ/ Bên ngoài</t>
  </si>
  <si>
    <t>Kiểm tra bộ lọc trạng thái hoạt động</t>
  </si>
  <si>
    <t>1. Chọn phân loại Hoà động/ Ngừng hoạt động</t>
  </si>
  <si>
    <t>Kiểm tra xem công nợ đơn vị vận chuyển</t>
  </si>
  <si>
    <t>1. Chọn công nợ</t>
  </si>
  <si>
    <t>Hiển thị drawer Lịch sử ghi nợ và thanh toán - Tên đơn vị vận chuyển</t>
  </si>
  <si>
    <t>Kiểm tra phân trang</t>
  </si>
  <si>
    <t>1. Chọn phân trang</t>
  </si>
  <si>
    <t>Hiển thị số thứ tự đúng với phân trang đã chọn</t>
  </si>
  <si>
    <t>Thêm/ Sửa đơn vị vận chuyển</t>
  </si>
  <si>
    <t>User có quyền thêm đơn vị vận chuyển</t>
  </si>
  <si>
    <t xml:space="preserve">1. Vào màn hình Quản lý đơn vị vận chuyển. 
2. Click "Thêm". </t>
  </si>
  <si>
    <t>Vận chuyển &gt; Đơn vị vận chuyển</t>
  </si>
  <si>
    <t>Hiển thị title " Thêm đơn vị vận chuyển"
Hiển thị nhập thông tin bắt buộc: Tên đơn vị, Mã đơn vị, Loại, Trạng thái</t>
  </si>
  <si>
    <t>Thêm mới đơn vị vận chuyển thành công với Loại = Bên ngoài, Trạng thái = Hoạt động</t>
  </si>
  <si>
    <t>1. Vào màn hình Quản lý đơn vị vận chuyển. 
2. Click "Thêm". 
3. Nhập Tên đơn vị. 
4. Nhập Mã đơn vị chưa tồn tại. 
5. Chọn Loại 
6. Chọn Trạng thái
7. Click Lưu.</t>
  </si>
  <si>
    <t>Hệ thống lưu thành công, hiển thị thông báo thành công và bản ghi mới xuất hiện trong danh sách.</t>
  </si>
  <si>
    <t>Thêm mới đơn vị vận chuyển thành công với Loại = Bên ngoài, Trạng thái = Ngừng hoạt động</t>
  </si>
  <si>
    <t>User có quyền thêm</t>
  </si>
  <si>
    <t>Tạo thành công, hiển thị đúng trạng thái Ngừng hoạt động.</t>
  </si>
  <si>
    <t>Thêm mới đơn vị vận chuyển thành công với Loại = Nội bộ, Trạng thái = Hoạt động</t>
  </si>
  <si>
    <t>Tạo thành công, hiển thị đúng loại và trạng thái.</t>
  </si>
  <si>
    <t>Thêm mới đơn vị vận chuyển thành công với Loại = Nội bộ, Trạng thái = Ngừng hoạt động</t>
  </si>
  <si>
    <t>Tạo thành công, dữ liệu hiển thị chính xác.</t>
  </si>
  <si>
    <t>Không nhập thông tin bắt buộc</t>
  </si>
  <si>
    <t>Form thêm mới đang mở</t>
  </si>
  <si>
    <t>1. Để trống trường bắt buộc. 
2. Nhập các trường còn lại hợp lệ. 
3. Click Lưu.</t>
  </si>
  <si>
    <t>Popup Thêm đơn vị vận chuyển</t>
  </si>
  <si>
    <t>Hiển thị validate "Vui lòng nhập tên", " Vui lòng nhập mã, không lưu dữ liệu.</t>
  </si>
  <si>
    <t>Thêm đơn vị với Mã đơn vị đã tồn tại</t>
  </si>
  <si>
    <t>Đã có đơn vị vận chuyển với mã tương ứng</t>
  </si>
  <si>
    <t>1. Mở form thêm mới. 2. Nhập Mã đơn vị đã tồn tại. 3. Nhập các thông tin khác hợp lệ. 4. Lưu.</t>
  </si>
  <si>
    <t>Hiển thị thông báo mã đơn vị đã tồn tại, không lưu dữ liệu.</t>
  </si>
  <si>
    <t>Thêm thành công</t>
  </si>
  <si>
    <t>Sửa Tên đơn vị vận chuyển</t>
  </si>
  <si>
    <t>Đã tồn tại đơn vị vận chuyển</t>
  </si>
  <si>
    <t>1. Chọn bản ghi. 
2. Click Sửa. 
3. Thay đổi Tên đơn vị. 
4. Lưu.</t>
  </si>
  <si>
    <t>Cập nhật thành công, hiển thị tên mới.</t>
  </si>
  <si>
    <t>Sửa Mã đơn vị vận chuyển hợp lệ</t>
  </si>
  <si>
    <t>Thay đổi Mã đơn vị chưa tồn tại và lưu</t>
  </si>
  <si>
    <t>Ô Mã đơn vị disable</t>
  </si>
  <si>
    <t>Sửa Loại từ Bên ngoài sang Nội bộ</t>
  </si>
  <si>
    <t>Có bản ghi loại Bên ngoài</t>
  </si>
  <si>
    <t>1. Mở form sửa. 2. Đổi Loại thành Nội bộ. 3. Lưu.</t>
  </si>
  <si>
    <t>Cập nhật thành công, hiển thị loại Nội bộ.</t>
  </si>
  <si>
    <t>Sửa Loại từ Nội bộ sang Bên ngoài</t>
  </si>
  <si>
    <t>Có bản ghi loại Nội bộ</t>
  </si>
  <si>
    <t>1. Mở form sửa. 2. Đổi Loại thành Bên ngoài. 3. Lưu.</t>
  </si>
  <si>
    <t>Cập nhật thành công.</t>
  </si>
  <si>
    <t>Sửa Trạng thái từ Hoạt động sang Ngừng hoạt động</t>
  </si>
  <si>
    <t>Có bản ghi đang Hoạt động</t>
  </si>
  <si>
    <t>1. Mở form sửa. 2. Chọn Ngừng hoạt động. 3. Lưu.</t>
  </si>
  <si>
    <t>Trạng thái cập nhật thành công.</t>
  </si>
  <si>
    <t>Sửa Trạng thái từ Ngừng hoạt động sang Hoạt động</t>
  </si>
  <si>
    <t>Có bản ghi đang Ngừng hoạt động</t>
  </si>
  <si>
    <t>1. Mở form sửa. 2. Chọn Hoạt động. 3. Lưu.</t>
  </si>
  <si>
    <t>Sửa dữ liệu rồi click Hủy</t>
  </si>
  <si>
    <t>Có bản ghi tồn tại</t>
  </si>
  <si>
    <t>1. Mở form sửa. 2. Thay đổi dữ liệu. 3. Click Hủy.</t>
  </si>
  <si>
    <t>Popup Sửa đơn vị vận chuyển</t>
  </si>
  <si>
    <t>Không cập nhật dữ liệu.</t>
  </si>
  <si>
    <t>Công nợ đơn vị vận chuyển</t>
  </si>
  <si>
    <t>Kiểm tra hiển thị giao diện màn hình Lịch sử ghi nợ</t>
  </si>
  <si>
    <t>Đã có Đơn vị vận chuyển</t>
  </si>
  <si>
    <t>1. Vào Vận chuyển → Đơn vị vận chuyển.
2. Chọn 1 ĐVVC.
3. Mở popup "Lịch sử ghi nợ và thanh toán".
4. Chọn tab "Lịch sử ghi nợ".</t>
  </si>
  <si>
    <t>Lịch sử ghi nợ</t>
  </si>
  <si>
    <t>Hiển thị đầy đủ các khối thống kê (Tổng ĐVVC nợ lại, Tổng tiền giao hàng, Đã thanh toán giao hàng, Tổng bồi thường, Tổng thu hồi). 
Hiển thị bộ lọc thời gian, danh sách ghi nợ, nút Thanh toán, Thu hồi bồi thường, Xuất Excel. Không bị vỡ layout.</t>
  </si>
  <si>
    <t>Kiểm tra hiển thị giao diện màn hình Lịch sử thanh toán</t>
  </si>
  <si>
    <t>Đã có dữ liệu thanh toán</t>
  </si>
  <si>
    <t>1. Mở popup lịch sử ghi nợ và thanh toán.
2. Chọn tab "Lịch sử thanh toán".</t>
  </si>
  <si>
    <t>Lịch sử thanh toán</t>
  </si>
  <si>
    <t>Hiển thị danh sách phiếu thanh toán, các cột dữ liệu đúng thiết kế, icon mở rộng chi tiết hoạt động bình thường, dữ liệu căn lề đúng, không bị tràn nội dung.</t>
  </si>
  <si>
    <t>Kiểm tra hiển thị giao diện màn hình Lịch sử bồi thường</t>
  </si>
  <si>
    <t>Đã có dữ liệu bồi thường</t>
  </si>
  <si>
    <t>1. Mở popup lịch sử ghi nợ và thanh toán.
2. Chọn tab "Lịch sử bồi thường".</t>
  </si>
  <si>
    <t>Lịch sử bồi thường</t>
  </si>
  <si>
    <t>Hiển thị danh sách phiếu bồi thường, cột Mã phiếu, Mã VĐ liên quan, Lý do, Số tiền trừ, Trạng thái, Hành động. Nút Hủy hiển thị đúng trạng thái áp dụng.</t>
  </si>
  <si>
    <t>Kiểm tra hiển thị giao diện popup Thu hồi bồi thường</t>
  </si>
  <si>
    <t>Có ít nhất 1 phiếu bồi thường còn số tiền thu hồi</t>
  </si>
  <si>
    <t>1. Tại màn hình lịch sử bồi thường.
2. Click "Thu hồi bồi thường".</t>
  </si>
  <si>
    <t>Popup Thu hồi bồi thường</t>
  </si>
  <si>
    <t>Hiển thị các trường: Tổng còn lại có thể thu hồi, Số tiền thu hồi, Phương thức thu, Ghi chú và danh sách phiếu bồi thường. 
Tổng phân bổ hiển thị đúng. 
Không lỗi giao diện.</t>
  </si>
  <si>
    <t>Kiểm tra hiển thị giao diện popup Thanh toán nợ vận chuyển</t>
  </si>
  <si>
    <t>Có công nợ vận chuyển &gt; 0</t>
  </si>
  <si>
    <t>1. Tại màn hình lịch sử ghi nợ.
2. Click "Thanh toán".</t>
  </si>
  <si>
    <t>Popup Thanh toán nợ vận chuyển</t>
  </si>
  <si>
    <t>Hiển thị đầy đủ các trường: Thời gian, Cửa hàng/Kho, Chế độ thanh toán nợ, Nợ hiện tại, Số tiền thanh toán, Phương thức thanh toán, Ghi chú. 
Các radio button hoạt động bình thường.</t>
  </si>
  <si>
    <t>Không nhập số tiền thanh toán</t>
  </si>
  <si>
    <t>Mở popup Thanh toán nợ vận chuyển</t>
  </si>
  <si>
    <t>1. Mở popup Thanh toán nợ vận chuyển.
2. Để trống trường Số tiền thanh toán.
3. Click Lưu.</t>
  </si>
  <si>
    <t>Hiển thị thông báo "Nhập số tiền thanh toán". Không cho phép lưu.</t>
  </si>
  <si>
    <t>Nhập số tiền thanh toán bằng 0</t>
  </si>
  <si>
    <t>1. Nhập Số tiền thanh toán = 0.
2. Click Lưu.</t>
  </si>
  <si>
    <t>Hiển thị thông báo "Số tiền phải lớn hơn 0". Không cho phép lưu.</t>
  </si>
  <si>
    <t>Thanh toán thành công</t>
  </si>
  <si>
    <t>Nhập số tiền thanh toán âm</t>
  </si>
  <si>
    <t>1. Nhập Số tiền thanh toán = -1.
2. Click Lưu.</t>
  </si>
  <si>
    <t>Nhập số tiền thanh toán lớn hơn nợ hiện tại</t>
  </si>
  <si>
    <t>Nợ hiện tại có giá trị xác định</t>
  </si>
  <si>
    <t>1. Nhập số tiền lớn hơn giá trị Nợ hiện tại.
2. Click Lưu.</t>
  </si>
  <si>
    <t>Hiển thị mặc định số tiền về số tiền lớn nhất có thể thanh toán</t>
  </si>
  <si>
    <t>Thanh toán nợ thành công</t>
  </si>
  <si>
    <t>Có công nợ &gt; 0</t>
  </si>
  <si>
    <t>1. Nhập số tiền thanh toán &gt; 0 và ≤ Nợ hiện tại.
2. Chọn phương thức thanh toán.
3. Click Lưu.</t>
  </si>
  <si>
    <t>Tạo phiếu thanh toán thành công. Công nợ giảm tương ứng. Dữ liệu hiển thị tại tab Lịch sử thanh toán.</t>
  </si>
  <si>
    <t>Chọn chế độ Thanh toán nợ cũ nhất</t>
  </si>
  <si>
    <t>Có nhiều phiếu ghi nợ</t>
  </si>
  <si>
    <t>1. Chọn "Thanh toán nợ cũ nhất".
2. Nhập số tiền hợp lệ.
3. Lưu.</t>
  </si>
  <si>
    <t>Hệ thống ưu tiên phân bổ tiền vào các phiếu nợ cũ nhất trước.</t>
  </si>
  <si>
    <t>- Đối với các đơn vị vận chuyển có số tiền ghi nợ bồi thường&gt; số tiền giao hàng, đang hiển thị số tiền thanh toán = số tiền giao hàng - số tiền ghi nợ bồi thường</t>
  </si>
  <si>
    <t>Chọn chế độ Thanh toán nợ mới nhất</t>
  </si>
  <si>
    <t>1. Chọn "Thanh toán nợ mới nhất".
2. Nhập số tiền hợp lệ.
3. Lưu.</t>
  </si>
  <si>
    <t>Hệ thống ưu tiên phân bổ tiền vào các phiếu nợ mới nhất trước.</t>
  </si>
  <si>
    <t>Chọn chế độ Thanh toán theo danh sách phiếu</t>
  </si>
  <si>
    <t>1. Chọn "Thanh toán theo danh sách phiếu".
2. Chọn các phiếu cần thanh toán.
3. Nhập số tiền hợp lệ.
4. Lưu.</t>
  </si>
  <si>
    <t>Hệ thống phân bổ tiền theo danh sách phiếu được chọn.</t>
  </si>
  <si>
    <t>Không nhập số tiền thu hồi</t>
  </si>
  <si>
    <t>Mở popup Thu hồi bồi thường</t>
  </si>
  <si>
    <t>1. Để trống trường Số tiền thu hồi.
2. Click Lưu.</t>
  </si>
  <si>
    <t>Hiển thị thông báo "Nhập số tiền thu hồi". Không cho phép lưu.</t>
  </si>
  <si>
    <t>Nhập số tiền thu hồi bằng 0</t>
  </si>
  <si>
    <t>1. Nhập Số tiền thu hồi = 0.
2. Click Lưu.</t>
  </si>
  <si>
    <t>Nhập số tiền thu hồi âm</t>
  </si>
  <si>
    <t>1. Nhập Số tiền thu hồi = -1.
2. Click Lưu.</t>
  </si>
  <si>
    <t>Nhập số tiền thu hồi lớn hơn số tiền có thể thu hồi</t>
  </si>
  <si>
    <t>Có giá trị Tổng còn lại có thể thu hồi</t>
  </si>
  <si>
    <t>1. Nhập số tiền lớn hơn Tổng còn lại có thể thu hồi.
2. Click Lưu.</t>
  </si>
  <si>
    <t>Hiển thị số tiền lớn nhất có thể thu hồi</t>
  </si>
  <si>
    <t>Thu hồi bồi thường thành công</t>
  </si>
  <si>
    <t>Có số tiền còn lại có thể thu hồi &gt; 0</t>
  </si>
  <si>
    <t>1. Nhập số tiền thu hồi &gt; 0 và ≤ Tổng còn lại có thể thu hồi.
2. Chọn phương thức thu.
3. Click Lưu.</t>
  </si>
  <si>
    <t>Tạo phiếu thu hồi thành công. Tổng thu hồi được cập nhật. Dữ liệu hiển thị tại Lịch sử bồi thường.</t>
  </si>
  <si>
    <t>Kiểm tra tách biệt nghiệp vụ Thanh toán nợ và Thu hồi bồi thường</t>
  </si>
  <si>
    <t>Có dữ liệu công nợ và bồi thường</t>
  </si>
  <si>
    <t>1. Thực hiện thanh toán nợ.
2. Kiểm tra dữ liệu thu hồi bồi thường.
3. Thực hiện thu hồi bồi thường.
4. Kiểm tra dữ liệu công nợ.</t>
  </si>
  <si>
    <t>Popup Thanh toán nợ / Thu hồi bồi thường</t>
  </si>
  <si>
    <t>Thanh toán nợ chỉ ảnh hưởng công nợ. Thu hồi bồi thường chỉ ảnh hưởng số tiền bồi thường. Hai nghiệp vụ không làm thay đổi số liệu của nhau.</t>
  </si>
  <si>
    <t>Kiểm tra các thao tác trên ở role quản lý tỉnh</t>
  </si>
  <si>
    <t>1. Đăng nhập role cấp tỉnh
2. Thực hiện các tường hợp trên</t>
  </si>
  <si>
    <t>Thông tin hiển thị đúng, các thao tác chỉ có ở tỉnh và cappas dưới không hiển thị ở TCT</t>
  </si>
  <si>
    <t>Nhân viên vận chuyển</t>
  </si>
  <si>
    <t>Kiểm tra giao diện</t>
  </si>
  <si>
    <t>Có dữ liệu nhân viên</t>
  </si>
  <si>
    <t>Truy cập màn hình Quản lý nhân viên vận chuyển</t>
  </si>
  <si>
    <t>Hiển thị title"Quản lý nhân viên vận chuyển"
Hiển thị ô tìm kiếm theo tên/SĐT, Bộ lọc Đơn vị VC.
Button tìm kiếm, xoá lọc, thêm mới, Phân trang
Danh sách hiển thị đúng các cột Tên, SĐT, Email, Chức vụ, Đơn vị VC, Hành động</t>
  </si>
  <si>
    <t>Hiển thị phân trang</t>
  </si>
  <si>
    <t>Có &gt; 1 trang dữ liệu</t>
  </si>
  <si>
    <t>Mở màn hình</t>
  </si>
  <si>
    <t>Hiển thị phân trang chính xác</t>
  </si>
  <si>
    <t>Chuyển trang</t>
  </si>
  <si>
    <t>Có nhiều trang</t>
  </si>
  <si>
    <t>Click trang tiếp theo</t>
  </si>
  <si>
    <t>Hiển thị dữ liệu của trang được chọn</t>
  </si>
  <si>
    <t>Tìm kiếm theo tên</t>
  </si>
  <si>
    <t>Có dữ liệu tên nhân viên</t>
  </si>
  <si>
    <t>Nhập tên → Tìm kiếm</t>
  </si>
  <si>
    <t>Trả về đúng nhân viên khớp điều kiện</t>
  </si>
  <si>
    <t>Tìm kiếm theo SĐT</t>
  </si>
  <si>
    <t>Có dữ liệu SĐT</t>
  </si>
  <si>
    <t>Nhập SĐT → Tìm kiếm</t>
  </si>
  <si>
    <t>Hiển thị đúng kết quả</t>
  </si>
  <si>
    <t>Tìm kiếm không tồn tại</t>
  </si>
  <si>
    <t>Không có dữ liệu khớp</t>
  </si>
  <si>
    <t>Nhập từ khóa bất kỳ → Tìm kiếm</t>
  </si>
  <si>
    <t>Hiển thị "Không tìm thấy dữ liệu"</t>
  </si>
  <si>
    <t>Lọc theo đơn vị vận chuyển</t>
  </si>
  <si>
    <t>Có nhiều đơn vị VC</t>
  </si>
  <si>
    <t>Chọn đơn vị VC → Tìm kiếm</t>
  </si>
  <si>
    <t>Chỉ hiển thị nhân viên thuộc đơn vị đã chọn</t>
  </si>
  <si>
    <t>Xóa bộ lọc</t>
  </si>
  <si>
    <t>Đã thực hiện tìm kiếm/lọc</t>
  </si>
  <si>
    <t>Click "Xóa lọc"</t>
  </si>
  <si>
    <t>Dữ liệu trở về trạng thái mặc định</t>
  </si>
  <si>
    <t>Mở form thêm mới</t>
  </si>
  <si>
    <t>Có quyền thêm mới</t>
  </si>
  <si>
    <t>Click "Thêm mới"</t>
  </si>
  <si>
    <t>Hiển thị popup Thêm nhân viên vận chuyển</t>
  </si>
  <si>
    <t>Mở form sửa</t>
  </si>
  <si>
    <t>Có dữ liệu</t>
  </si>
  <si>
    <t>Click nút "Sửa"</t>
  </si>
  <si>
    <t>Hiển thị popup sửa với dữ liệu hiện tại</t>
  </si>
  <si>
    <t>Hiển thị nút xóa</t>
  </si>
  <si>
    <t>Quan sát cột Hành động</t>
  </si>
  <si>
    <t>Thấp</t>
  </si>
  <si>
    <t>Hiển thị nút Xóa đúng UI</t>
  </si>
  <si>
    <t>Thêm /Sửa nhân viên vận chuyển</t>
  </si>
  <si>
    <t>Hiển thị popup thêm mới</t>
  </si>
  <si>
    <t>Người dùng có quyền thêm</t>
  </si>
  <si>
    <t>Click Thêm mới</t>
  </si>
  <si>
    <t>Popup Thêm nhân viên VC</t>
  </si>
  <si>
    <t>Popup hiển thị đầy đủ các trường</t>
  </si>
  <si>
    <t>Thêm mới thành công</t>
  </si>
  <si>
    <t>Nhập dữ liệu hợp lệ</t>
  </si>
  <si>
    <t>Điền đầy đủ thông tin → Lưu</t>
  </si>
  <si>
    <t>Thêm thành công, hiển thị thông báo thành công</t>
  </si>
  <si>
    <t>Mở popup</t>
  </si>
  <si>
    <t>Bỏ trống các thông tin bắt buộc</t>
  </si>
  <si>
    <t>Hiển thị validate bắt buộc</t>
  </si>
  <si>
    <t>Nhập SĐT sai định dạng</t>
  </si>
  <si>
    <t>Nhập số điện thoại sai định dạng</t>
  </si>
  <si>
    <t>Hiển thị cảnh báo định dạng</t>
  </si>
  <si>
    <t>Nhập SĐT đã tồn tại</t>
  </si>
  <si>
    <t>Đã có SĐT trong hệ thống</t>
  </si>
  <si>
    <t>Nhập SĐT trùng → Lưu</t>
  </si>
  <si>
    <t>Hiển thị thông báo trùng dữ liệu</t>
  </si>
  <si>
    <t>Nhập email sai định dạng</t>
  </si>
  <si>
    <t>Nhập abc@gmail</t>
  </si>
  <si>
    <t>Hiển thị cảnh báo định dạng email</t>
  </si>
  <si>
    <t>Nhập chức vụ</t>
  </si>
  <si>
    <t>Nhập chức vụ hợp lệ</t>
  </si>
  <si>
    <t>Hiển thị và lưu đúng dữ liệu</t>
  </si>
  <si>
    <t>Đóng popup khi chưa lưu</t>
  </si>
  <si>
    <t>Đang nhập dữ liệu</t>
  </si>
  <si>
    <t>Click X</t>
  </si>
  <si>
    <t>Hiển thị cảnh báo mất dữ liệu (nếu có thiết kế)</t>
  </si>
  <si>
    <t>Chỉnh sửa tên</t>
  </si>
  <si>
    <t>Sửa tên → Lưu</t>
  </si>
  <si>
    <t>Popup Cập nhật nhân viên vận chuyển</t>
  </si>
  <si>
    <t>Dữ liệu được cập nhật</t>
  </si>
  <si>
    <t>Chỉnh sửa SĐT hợp lệ</t>
  </si>
  <si>
    <t>Sửa SĐT → Lưu</t>
  </si>
  <si>
    <t>Cập nhật thành công</t>
  </si>
  <si>
    <t>Chỉnh sửa email hợp lệ</t>
  </si>
  <si>
    <t>Sửa email → Lưu</t>
  </si>
  <si>
    <t>Xóa dữ liệu bắt buộc</t>
  </si>
  <si>
    <t>Xóa tên/SĐT → Lưu</t>
  </si>
  <si>
    <t>Sửa email sai định dạng → Lưu</t>
  </si>
  <si>
    <t>Hiển thị validate</t>
  </si>
  <si>
    <t>Xác nhận xóa</t>
  </si>
  <si>
    <t>Click Xóa → Xác nhận</t>
  </si>
  <si>
    <t>Popup xác nhận xóa</t>
  </si>
  <si>
    <t>Dữ liệu bị xóa khỏi danh sách</t>
  </si>
  <si>
    <t>Hủy xóa</t>
  </si>
  <si>
    <t>Click Xóa → Hủy</t>
  </si>
  <si>
    <t>Không xóa dữ liệu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</si>
</sst>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Times New Roman"/>
    </font>
    <font>
      <b/>
      <sz val="12.0"/>
      <color theme="1"/>
      <name val="Times New Roman"/>
    </font>
    <font/>
    <font>
      <color theme="1"/>
      <name val="Arial"/>
    </font>
  </fonts>
  <fills count="6">
    <fill>
      <patternFill patternType="none"/>
    </fill>
    <fill>
      <patternFill patternType="lightGray"/>
    </fill>
    <fill>
      <patternFill patternType="solid">
        <fgColor rgb="FFA4C2F4"/>
        <bgColor rgb="FFA4C2F4"/>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2" fontId="2"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2" fontId="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0" fillId="0" fontId="1" numFmtId="0" xfId="0" applyAlignment="1" applyFont="1">
      <alignment vertical="bottom"/>
    </xf>
    <xf borderId="0" fillId="0" fontId="1" numFmtId="0" xfId="0" applyAlignment="1" applyFont="1">
      <alignment horizontal="center" vertical="center"/>
    </xf>
    <xf borderId="0" fillId="0" fontId="1" numFmtId="0" xfId="0" applyFont="1"/>
    <xf borderId="3" fillId="2" fontId="2" numFmtId="0" xfId="0" applyAlignment="1" applyBorder="1" applyFont="1">
      <alignment horizontal="center" shrinkToFit="0" vertical="center" wrapText="1"/>
    </xf>
    <xf borderId="3" fillId="0" fontId="1" numFmtId="0" xfId="0" applyAlignment="1" applyBorder="1" applyFont="1">
      <alignment vertical="bottom"/>
    </xf>
    <xf borderId="1" fillId="3" fontId="2" numFmtId="0" xfId="0" applyAlignment="1" applyBorder="1" applyFill="1" applyFont="1">
      <alignment readingOrder="0" vertical="bottom"/>
    </xf>
    <xf borderId="4" fillId="0" fontId="3" numFmtId="0" xfId="0" applyBorder="1" applyFont="1"/>
    <xf borderId="3" fillId="0" fontId="2" numFmtId="0" xfId="0" applyAlignment="1" applyBorder="1" applyFont="1">
      <alignment shrinkToFit="0" vertical="bottom" wrapText="1"/>
    </xf>
    <xf borderId="3" fillId="0" fontId="1" numFmtId="0" xfId="0" applyAlignment="1" applyBorder="1" applyFont="1">
      <alignment readingOrder="0" shrinkToFit="0" wrapText="1"/>
    </xf>
    <xf borderId="3" fillId="0" fontId="1" numFmtId="0" xfId="0" applyAlignment="1" applyBorder="1" applyFont="1">
      <alignment horizontal="center" readingOrder="0" shrinkToFit="0" vertical="center" wrapText="1"/>
    </xf>
    <xf borderId="3" fillId="0" fontId="1" numFmtId="0" xfId="0" applyAlignment="1" applyBorder="1" applyFont="1">
      <alignment shrinkToFit="0" wrapText="1"/>
    </xf>
    <xf borderId="3" fillId="0" fontId="1" numFmtId="0" xfId="0" applyAlignment="1" applyBorder="1" applyFont="1">
      <alignment shrinkToFit="0" vertical="bottom" wrapText="1"/>
    </xf>
    <xf borderId="0" fillId="0" fontId="1" numFmtId="14" xfId="0" applyAlignment="1" applyFont="1" applyNumberFormat="1">
      <alignment vertical="bottom"/>
    </xf>
    <xf borderId="3" fillId="0" fontId="1" numFmtId="0" xfId="0" applyAlignment="1" applyBorder="1" applyFont="1">
      <alignment readingOrder="0" shrinkToFit="0" vertical="bottom" wrapText="1"/>
    </xf>
    <xf borderId="3" fillId="0" fontId="4" numFmtId="0" xfId="0" applyAlignment="1" applyBorder="1" applyFont="1">
      <alignment vertical="bottom"/>
    </xf>
    <xf borderId="3" fillId="0" fontId="1" numFmtId="0" xfId="0" applyAlignment="1" applyBorder="1" applyFont="1">
      <alignment shrinkToFit="0" vertical="bottom" wrapText="1"/>
    </xf>
    <xf borderId="3" fillId="0" fontId="1" numFmtId="0" xfId="0" applyAlignment="1" applyBorder="1" applyFont="1">
      <alignment horizontal="center" shrinkToFit="0" wrapText="1"/>
    </xf>
    <xf borderId="3" fillId="0" fontId="4" numFmtId="0" xfId="0" applyAlignment="1" applyBorder="1" applyFont="1">
      <alignment vertical="bottom"/>
    </xf>
    <xf borderId="0" fillId="0" fontId="4" numFmtId="14" xfId="0" applyAlignment="1" applyFont="1" applyNumberFormat="1">
      <alignment vertical="bottom"/>
    </xf>
    <xf borderId="0" fillId="0" fontId="4" numFmtId="0" xfId="0" applyAlignment="1" applyFont="1">
      <alignment vertical="bottom"/>
    </xf>
    <xf borderId="1" fillId="4" fontId="2" numFmtId="0" xfId="0" applyAlignment="1" applyBorder="1" applyFill="1" applyFont="1">
      <alignment readingOrder="0" vertical="bottom"/>
    </xf>
    <xf borderId="3" fillId="0" fontId="2" numFmtId="0" xfId="0" applyAlignment="1" applyBorder="1" applyFont="1">
      <alignment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shrinkToFit="0" vertical="center" wrapText="1"/>
    </xf>
    <xf borderId="3" fillId="0" fontId="1" numFmtId="14" xfId="0" applyAlignment="1" applyBorder="1" applyFont="1" applyNumberFormat="1">
      <alignment vertical="center"/>
    </xf>
    <xf borderId="0" fillId="0" fontId="1" numFmtId="0" xfId="0" applyAlignment="1" applyFont="1">
      <alignment vertical="center"/>
    </xf>
    <xf borderId="3" fillId="0" fontId="1" numFmtId="14" xfId="0" applyAlignment="1" applyBorder="1" applyFont="1" applyNumberFormat="1">
      <alignment shrinkToFit="0" vertical="center" wrapText="1"/>
    </xf>
    <xf borderId="1" fillId="5" fontId="2" numFmtId="0" xfId="0" applyAlignment="1" applyBorder="1" applyFill="1" applyFont="1">
      <alignment readingOrder="0" vertical="bottom"/>
    </xf>
    <xf borderId="3" fillId="0" fontId="1" numFmtId="0" xfId="0" applyAlignment="1" applyBorder="1" applyFont="1">
      <alignment vertical="center"/>
    </xf>
    <xf borderId="1" fillId="5" fontId="2" numFmtId="0" xfId="0" applyAlignment="1" applyBorder="1" applyFont="1">
      <alignment readingOrder="0" shrinkToFit="0" vertical="bottom" wrapText="1"/>
    </xf>
    <xf borderId="0" fillId="0" fontId="1" numFmtId="1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3"/>
  <cols>
    <col customWidth="1" min="1" max="1" width="16.5"/>
    <col customWidth="1" min="2" max="2" width="25.13"/>
    <col customWidth="1" min="3" max="3" width="25.75"/>
    <col customWidth="1" min="4" max="4" width="38.25"/>
    <col customWidth="1" min="5" max="5" width="16.88"/>
    <col customWidth="1" min="6" max="6" width="18.75"/>
    <col customWidth="1" min="7" max="7" width="30.75"/>
    <col customWidth="1" min="8" max="8" width="31.38"/>
    <col customWidth="1" min="9" max="9" width="17.25"/>
    <col customWidth="1" min="10" max="10" width="14.0"/>
    <col customWidth="1" min="11" max="11" width="18.5"/>
  </cols>
  <sheetData>
    <row r="1">
      <c r="A1" s="1"/>
      <c r="B1" s="2" t="s">
        <v>0</v>
      </c>
      <c r="C1" s="3"/>
      <c r="D1" s="4" t="s">
        <v>1</v>
      </c>
      <c r="E1" s="5"/>
      <c r="F1" s="1"/>
      <c r="G1" s="1"/>
      <c r="H1" s="1"/>
      <c r="I1" s="1"/>
      <c r="J1" s="1"/>
      <c r="K1" s="1"/>
      <c r="L1" s="1"/>
      <c r="M1" s="1"/>
      <c r="N1" s="1"/>
      <c r="O1" s="1"/>
      <c r="P1" s="1"/>
      <c r="Q1" s="1"/>
      <c r="R1" s="1"/>
      <c r="S1" s="1"/>
      <c r="T1" s="1"/>
      <c r="U1" s="1"/>
      <c r="V1" s="1"/>
      <c r="W1" s="1"/>
      <c r="X1" s="1"/>
      <c r="Y1" s="1"/>
      <c r="Z1" s="1"/>
      <c r="AA1" s="1"/>
    </row>
    <row r="2">
      <c r="A2" s="1"/>
      <c r="B2" s="6" t="s">
        <v>2</v>
      </c>
      <c r="C2" s="3"/>
      <c r="D2" s="4" t="s">
        <v>3</v>
      </c>
      <c r="E2" s="5"/>
      <c r="F2" s="1"/>
      <c r="G2" s="1"/>
      <c r="H2" s="1"/>
      <c r="I2" s="1"/>
      <c r="J2" s="1"/>
      <c r="K2" s="1"/>
      <c r="L2" s="1"/>
      <c r="M2" s="1"/>
      <c r="N2" s="1"/>
      <c r="O2" s="1"/>
      <c r="P2" s="1"/>
      <c r="Q2" s="1"/>
      <c r="R2" s="1"/>
      <c r="S2" s="1"/>
      <c r="T2" s="1"/>
      <c r="U2" s="1"/>
      <c r="V2" s="1"/>
      <c r="W2" s="1"/>
      <c r="X2" s="1"/>
      <c r="Y2" s="1"/>
      <c r="Z2" s="1"/>
      <c r="AA2" s="1"/>
    </row>
    <row r="3">
      <c r="A3" s="1"/>
      <c r="B3" s="7" t="s">
        <v>4</v>
      </c>
      <c r="C3" s="3"/>
      <c r="D3" s="8">
        <f>COUNTA(D12:D294)</f>
        <v>96</v>
      </c>
      <c r="E3" s="5"/>
      <c r="F3" s="1"/>
      <c r="G3" s="1"/>
      <c r="H3" s="1"/>
      <c r="I3" s="1"/>
      <c r="J3" s="1"/>
      <c r="K3" s="1"/>
      <c r="L3" s="1"/>
      <c r="M3" s="1"/>
      <c r="N3" s="1"/>
      <c r="O3" s="1"/>
      <c r="P3" s="1"/>
      <c r="Q3" s="1"/>
      <c r="R3" s="1"/>
      <c r="S3" s="1"/>
      <c r="T3" s="1"/>
      <c r="U3" s="1"/>
      <c r="V3" s="1"/>
      <c r="W3" s="1"/>
      <c r="X3" s="1"/>
      <c r="Y3" s="1"/>
      <c r="Z3" s="1"/>
      <c r="AA3" s="1"/>
    </row>
    <row r="4">
      <c r="A4" s="1"/>
      <c r="B4" s="7" t="s">
        <v>5</v>
      </c>
      <c r="C4" s="3"/>
      <c r="D4" s="8">
        <f>D3-SUM(D5:D8)</f>
        <v>0</v>
      </c>
      <c r="E4" s="5"/>
      <c r="F4" s="1"/>
      <c r="G4" s="1"/>
      <c r="H4" s="1"/>
      <c r="I4" s="1"/>
      <c r="J4" s="1"/>
      <c r="K4" s="1"/>
      <c r="L4" s="1"/>
      <c r="M4" s="1"/>
      <c r="N4" s="1"/>
      <c r="O4" s="1"/>
      <c r="P4" s="1"/>
      <c r="Q4" s="1"/>
      <c r="R4" s="1"/>
      <c r="S4" s="1"/>
      <c r="T4" s="1"/>
      <c r="U4" s="1"/>
      <c r="V4" s="1"/>
      <c r="W4" s="1"/>
      <c r="X4" s="1"/>
      <c r="Y4" s="1"/>
      <c r="Z4" s="1"/>
      <c r="AA4" s="1"/>
    </row>
    <row r="5">
      <c r="A5" s="1"/>
      <c r="B5" s="7" t="s">
        <v>6</v>
      </c>
      <c r="C5" s="3"/>
      <c r="D5" s="8">
        <f>COUNTIF(I:I,"Pass")</f>
        <v>85</v>
      </c>
      <c r="E5" s="5"/>
      <c r="F5" s="1"/>
      <c r="G5" s="1"/>
      <c r="H5" s="1"/>
      <c r="I5" s="1"/>
      <c r="J5" s="1"/>
      <c r="K5" s="1"/>
      <c r="L5" s="1"/>
      <c r="M5" s="1"/>
      <c r="N5" s="1"/>
      <c r="O5" s="1"/>
      <c r="P5" s="1"/>
      <c r="Q5" s="1"/>
      <c r="R5" s="1"/>
      <c r="S5" s="1"/>
      <c r="T5" s="1"/>
      <c r="U5" s="1"/>
      <c r="V5" s="1"/>
      <c r="W5" s="1"/>
      <c r="X5" s="1"/>
      <c r="Y5" s="1"/>
      <c r="Z5" s="1"/>
      <c r="AA5" s="1"/>
    </row>
    <row r="6">
      <c r="A6" s="1"/>
      <c r="B6" s="7" t="s">
        <v>7</v>
      </c>
      <c r="C6" s="3"/>
      <c r="D6" s="8">
        <f>COUNTIF(I:I,"Fail")</f>
        <v>11</v>
      </c>
      <c r="E6" s="5"/>
      <c r="F6" s="1"/>
      <c r="G6" s="1"/>
      <c r="H6" s="1"/>
      <c r="I6" s="1"/>
      <c r="J6" s="1"/>
      <c r="K6" s="1"/>
      <c r="L6" s="1"/>
      <c r="M6" s="1"/>
      <c r="N6" s="1"/>
      <c r="O6" s="1"/>
      <c r="P6" s="1"/>
      <c r="Q6" s="1"/>
      <c r="R6" s="1"/>
      <c r="S6" s="1"/>
      <c r="T6" s="1"/>
      <c r="U6" s="1"/>
      <c r="V6" s="1"/>
      <c r="W6" s="1"/>
      <c r="X6" s="1"/>
      <c r="Y6" s="1"/>
      <c r="Z6" s="1"/>
      <c r="AA6" s="1"/>
    </row>
    <row r="7">
      <c r="A7" s="1"/>
      <c r="B7" s="7" t="s">
        <v>8</v>
      </c>
      <c r="C7" s="3"/>
      <c r="D7" s="8">
        <f>COUNTIF(I:I,"Pending")</f>
        <v>0</v>
      </c>
      <c r="E7" s="5"/>
      <c r="F7" s="1"/>
      <c r="G7" s="1"/>
      <c r="H7" s="1"/>
      <c r="I7" s="1"/>
      <c r="J7" s="1"/>
      <c r="K7" s="1"/>
      <c r="L7" s="1"/>
      <c r="M7" s="1"/>
      <c r="N7" s="1"/>
      <c r="O7" s="1"/>
      <c r="P7" s="1"/>
      <c r="Q7" s="1"/>
      <c r="R7" s="1"/>
      <c r="S7" s="1"/>
      <c r="T7" s="1"/>
      <c r="U7" s="1"/>
      <c r="V7" s="1"/>
      <c r="W7" s="1"/>
      <c r="X7" s="1"/>
      <c r="Y7" s="1"/>
      <c r="Z7" s="1"/>
      <c r="AA7" s="1"/>
    </row>
    <row r="8">
      <c r="A8" s="1"/>
      <c r="B8" s="7" t="s">
        <v>9</v>
      </c>
      <c r="C8" s="3"/>
      <c r="D8" s="8">
        <f>COUNTIF(I:I,"Drop")</f>
        <v>0</v>
      </c>
      <c r="E8" s="5"/>
      <c r="F8" s="1"/>
      <c r="G8" s="1"/>
      <c r="H8" s="1"/>
      <c r="I8" s="1"/>
      <c r="J8" s="1"/>
      <c r="K8" s="1"/>
      <c r="L8" s="1"/>
      <c r="M8" s="1"/>
      <c r="N8" s="1"/>
      <c r="O8" s="1"/>
      <c r="P8" s="1"/>
      <c r="Q8" s="1"/>
      <c r="R8" s="1"/>
      <c r="S8" s="1"/>
      <c r="T8" s="1"/>
      <c r="U8" s="1"/>
      <c r="V8" s="1"/>
      <c r="W8" s="1"/>
      <c r="X8" s="1"/>
      <c r="Y8" s="1"/>
      <c r="Z8" s="1"/>
      <c r="AA8" s="1"/>
    </row>
    <row r="9">
      <c r="A9" s="9"/>
      <c r="B9" s="9"/>
      <c r="C9" s="9"/>
      <c r="D9" s="9"/>
      <c r="E9" s="10"/>
      <c r="F9" s="9"/>
      <c r="G9" s="9"/>
      <c r="H9" s="9"/>
      <c r="I9" s="9"/>
      <c r="J9" s="9"/>
      <c r="K9" s="9"/>
      <c r="L9" s="11"/>
      <c r="M9" s="11"/>
      <c r="N9" s="11"/>
      <c r="O9" s="11"/>
      <c r="P9" s="11"/>
      <c r="Q9" s="11"/>
      <c r="R9" s="11"/>
      <c r="S9" s="11"/>
      <c r="T9" s="11"/>
      <c r="U9" s="11"/>
      <c r="V9" s="11"/>
      <c r="W9" s="11"/>
      <c r="X9" s="11"/>
      <c r="Y9" s="11"/>
      <c r="Z9" s="11"/>
      <c r="AA9" s="11"/>
    </row>
    <row r="10">
      <c r="A10" s="12" t="s">
        <v>10</v>
      </c>
      <c r="B10" s="12" t="s">
        <v>11</v>
      </c>
      <c r="C10" s="12" t="s">
        <v>12</v>
      </c>
      <c r="D10" s="12" t="s">
        <v>13</v>
      </c>
      <c r="E10" s="12" t="s">
        <v>14</v>
      </c>
      <c r="F10" s="12" t="s">
        <v>15</v>
      </c>
      <c r="G10" s="12" t="s">
        <v>16</v>
      </c>
      <c r="H10" s="12" t="s">
        <v>17</v>
      </c>
      <c r="I10" s="12" t="s">
        <v>18</v>
      </c>
      <c r="J10" s="12" t="s">
        <v>19</v>
      </c>
      <c r="K10" s="12" t="s">
        <v>20</v>
      </c>
      <c r="L10" s="11"/>
      <c r="M10" s="11"/>
      <c r="N10" s="11"/>
      <c r="O10" s="11"/>
      <c r="P10" s="11"/>
      <c r="Q10" s="11"/>
      <c r="R10" s="11"/>
      <c r="S10" s="11"/>
      <c r="T10" s="11"/>
      <c r="U10" s="11"/>
      <c r="V10" s="11"/>
      <c r="W10" s="11"/>
      <c r="X10" s="11"/>
      <c r="Y10" s="11"/>
      <c r="Z10" s="11"/>
      <c r="AA10" s="11"/>
    </row>
    <row r="11" collapsed="1">
      <c r="A11" s="13"/>
      <c r="B11" s="14" t="s">
        <v>21</v>
      </c>
      <c r="C11" s="15"/>
      <c r="D11" s="15"/>
      <c r="E11" s="15"/>
      <c r="F11" s="15"/>
      <c r="G11" s="15"/>
      <c r="H11" s="15"/>
      <c r="I11" s="15"/>
      <c r="J11" s="15"/>
      <c r="K11" s="3"/>
      <c r="L11" s="11"/>
      <c r="M11" s="11"/>
      <c r="N11" s="11"/>
      <c r="O11" s="11"/>
      <c r="P11" s="11"/>
      <c r="Q11" s="11"/>
      <c r="R11" s="11"/>
      <c r="S11" s="11"/>
      <c r="T11" s="11"/>
      <c r="U11" s="11"/>
      <c r="V11" s="11"/>
      <c r="W11" s="11"/>
      <c r="X11" s="11"/>
      <c r="Y11" s="11"/>
      <c r="Z11" s="11"/>
      <c r="AA11" s="11"/>
    </row>
    <row r="12" hidden="1" outlineLevel="1">
      <c r="A12" s="16" t="str">
        <f t="shared" ref="A12:A20" si="1">IF(G12="", "", $D$2 &amp; "_" &amp; COUNTA($G$12:G12))
</f>
        <v>Vantai_1</v>
      </c>
      <c r="B12" s="17" t="s">
        <v>22</v>
      </c>
      <c r="C12" s="17"/>
      <c r="D12" s="17" t="s">
        <v>23</v>
      </c>
      <c r="E12" s="17" t="s">
        <v>24</v>
      </c>
      <c r="F12" s="17" t="s">
        <v>25</v>
      </c>
      <c r="G12" s="17" t="s">
        <v>26</v>
      </c>
      <c r="H12" s="17" t="s">
        <v>26</v>
      </c>
      <c r="I12" s="18" t="s">
        <v>27</v>
      </c>
      <c r="J12" s="19"/>
      <c r="K12" s="20"/>
      <c r="L12" s="21"/>
      <c r="M12" s="11"/>
      <c r="N12" s="11"/>
      <c r="O12" s="11"/>
      <c r="P12" s="11"/>
      <c r="Q12" s="11"/>
      <c r="R12" s="11"/>
      <c r="S12" s="11"/>
      <c r="T12" s="11"/>
      <c r="U12" s="11"/>
      <c r="V12" s="11"/>
      <c r="W12" s="11"/>
      <c r="X12" s="11"/>
      <c r="Y12" s="11"/>
      <c r="Z12" s="11"/>
      <c r="AA12" s="11"/>
    </row>
    <row r="13" hidden="1" outlineLevel="1">
      <c r="A13" s="16" t="str">
        <f t="shared" si="1"/>
        <v>Vantai_2</v>
      </c>
      <c r="B13" s="17" t="s">
        <v>28</v>
      </c>
      <c r="C13" s="17"/>
      <c r="D13" s="17" t="s">
        <v>29</v>
      </c>
      <c r="E13" s="17" t="s">
        <v>24</v>
      </c>
      <c r="F13" s="17" t="s">
        <v>30</v>
      </c>
      <c r="G13" s="17" t="s">
        <v>31</v>
      </c>
      <c r="H13" s="17" t="s">
        <v>31</v>
      </c>
      <c r="I13" s="18" t="s">
        <v>27</v>
      </c>
      <c r="J13" s="19"/>
      <c r="K13" s="20"/>
      <c r="L13" s="21"/>
      <c r="M13" s="11"/>
      <c r="N13" s="11"/>
      <c r="O13" s="11"/>
      <c r="P13" s="11"/>
      <c r="Q13" s="11"/>
      <c r="R13" s="11"/>
      <c r="S13" s="11"/>
      <c r="T13" s="11"/>
      <c r="U13" s="11"/>
      <c r="V13" s="11"/>
      <c r="W13" s="11"/>
      <c r="X13" s="11"/>
      <c r="Y13" s="11"/>
      <c r="Z13" s="11"/>
      <c r="AA13" s="11"/>
    </row>
    <row r="14" hidden="1" outlineLevel="1">
      <c r="A14" s="16" t="str">
        <f t="shared" si="1"/>
        <v>Vantai_3</v>
      </c>
      <c r="B14" s="22" t="s">
        <v>32</v>
      </c>
      <c r="C14" s="23"/>
      <c r="D14" s="22" t="s">
        <v>33</v>
      </c>
      <c r="E14" s="24" t="s">
        <v>24</v>
      </c>
      <c r="F14" s="22" t="s">
        <v>34</v>
      </c>
      <c r="G14" s="22" t="s">
        <v>35</v>
      </c>
      <c r="H14" s="22" t="s">
        <v>35</v>
      </c>
      <c r="I14" s="25" t="s">
        <v>27</v>
      </c>
      <c r="J14" s="26"/>
      <c r="K14" s="26"/>
      <c r="L14" s="27"/>
      <c r="M14" s="28"/>
      <c r="N14" s="28"/>
      <c r="O14" s="28"/>
      <c r="P14" s="28"/>
      <c r="Q14" s="28"/>
      <c r="R14" s="28"/>
      <c r="S14" s="28"/>
      <c r="T14" s="28"/>
      <c r="U14" s="28"/>
      <c r="V14" s="28"/>
      <c r="W14" s="28"/>
      <c r="X14" s="28"/>
      <c r="Y14" s="28"/>
      <c r="Z14" s="28"/>
      <c r="AA14" s="28"/>
    </row>
    <row r="15" hidden="1" outlineLevel="1">
      <c r="A15" s="16" t="str">
        <f t="shared" si="1"/>
        <v>Vantai_4</v>
      </c>
      <c r="B15" s="17" t="s">
        <v>36</v>
      </c>
      <c r="C15" s="17"/>
      <c r="D15" s="17" t="s">
        <v>23</v>
      </c>
      <c r="E15" s="17" t="s">
        <v>24</v>
      </c>
      <c r="F15" s="17" t="s">
        <v>25</v>
      </c>
      <c r="G15" s="17" t="s">
        <v>26</v>
      </c>
      <c r="H15" s="17" t="s">
        <v>26</v>
      </c>
      <c r="I15" s="18" t="s">
        <v>27</v>
      </c>
      <c r="J15" s="19"/>
      <c r="K15" s="20"/>
      <c r="L15" s="21"/>
      <c r="M15" s="11"/>
      <c r="N15" s="11"/>
      <c r="O15" s="11"/>
      <c r="P15" s="11"/>
      <c r="Q15" s="11"/>
      <c r="R15" s="11"/>
      <c r="S15" s="11"/>
      <c r="T15" s="11"/>
      <c r="U15" s="11"/>
      <c r="V15" s="11"/>
      <c r="W15" s="11"/>
      <c r="X15" s="11"/>
      <c r="Y15" s="11"/>
      <c r="Z15" s="11"/>
      <c r="AA15" s="11"/>
    </row>
    <row r="16" hidden="1" outlineLevel="1">
      <c r="A16" s="16" t="str">
        <f t="shared" si="1"/>
        <v>Vantai_5</v>
      </c>
      <c r="B16" s="17" t="s">
        <v>37</v>
      </c>
      <c r="C16" s="17"/>
      <c r="D16" s="17" t="s">
        <v>29</v>
      </c>
      <c r="E16" s="17" t="s">
        <v>24</v>
      </c>
      <c r="F16" s="17" t="s">
        <v>30</v>
      </c>
      <c r="G16" s="17" t="s">
        <v>31</v>
      </c>
      <c r="H16" s="17" t="s">
        <v>31</v>
      </c>
      <c r="I16" s="18" t="s">
        <v>27</v>
      </c>
      <c r="J16" s="19"/>
      <c r="K16" s="20"/>
      <c r="L16" s="21"/>
      <c r="M16" s="11"/>
      <c r="N16" s="11"/>
      <c r="O16" s="11"/>
      <c r="P16" s="11"/>
      <c r="Q16" s="11"/>
      <c r="R16" s="11"/>
      <c r="S16" s="11"/>
      <c r="T16" s="11"/>
      <c r="U16" s="11"/>
      <c r="V16" s="11"/>
      <c r="W16" s="11"/>
      <c r="X16" s="11"/>
      <c r="Y16" s="11"/>
      <c r="Z16" s="11"/>
      <c r="AA16" s="11"/>
    </row>
    <row r="17" hidden="1" outlineLevel="1">
      <c r="A17" s="16" t="str">
        <f t="shared" si="1"/>
        <v>Vantai_6</v>
      </c>
      <c r="B17" s="22" t="s">
        <v>38</v>
      </c>
      <c r="C17" s="23"/>
      <c r="D17" s="22" t="s">
        <v>33</v>
      </c>
      <c r="E17" s="24" t="s">
        <v>24</v>
      </c>
      <c r="F17" s="22" t="s">
        <v>34</v>
      </c>
      <c r="G17" s="22" t="s">
        <v>35</v>
      </c>
      <c r="H17" s="22" t="s">
        <v>35</v>
      </c>
      <c r="I17" s="25" t="s">
        <v>27</v>
      </c>
      <c r="J17" s="26"/>
      <c r="K17" s="26"/>
      <c r="L17" s="27"/>
      <c r="M17" s="28"/>
      <c r="N17" s="28"/>
      <c r="O17" s="28"/>
      <c r="P17" s="28"/>
      <c r="Q17" s="28"/>
      <c r="R17" s="28"/>
      <c r="S17" s="28"/>
      <c r="T17" s="28"/>
      <c r="U17" s="28"/>
      <c r="V17" s="28"/>
      <c r="W17" s="28"/>
      <c r="X17" s="28"/>
      <c r="Y17" s="28"/>
      <c r="Z17" s="28"/>
      <c r="AA17" s="28"/>
    </row>
    <row r="18" hidden="1" outlineLevel="1">
      <c r="A18" s="16" t="str">
        <f t="shared" si="1"/>
        <v>Vantai_7</v>
      </c>
      <c r="B18" s="17" t="s">
        <v>39</v>
      </c>
      <c r="C18" s="17"/>
      <c r="D18" s="17" t="s">
        <v>23</v>
      </c>
      <c r="E18" s="17" t="s">
        <v>24</v>
      </c>
      <c r="F18" s="17" t="s">
        <v>25</v>
      </c>
      <c r="G18" s="17" t="s">
        <v>26</v>
      </c>
      <c r="H18" s="17" t="s">
        <v>26</v>
      </c>
      <c r="I18" s="18" t="s">
        <v>27</v>
      </c>
      <c r="J18" s="19"/>
      <c r="K18" s="20"/>
      <c r="L18" s="21"/>
      <c r="M18" s="11"/>
      <c r="N18" s="11"/>
      <c r="O18" s="11"/>
      <c r="P18" s="11"/>
      <c r="Q18" s="11"/>
      <c r="R18" s="11"/>
      <c r="S18" s="11"/>
      <c r="T18" s="11"/>
      <c r="U18" s="11"/>
      <c r="V18" s="11"/>
      <c r="W18" s="11"/>
      <c r="X18" s="11"/>
      <c r="Y18" s="11"/>
      <c r="Z18" s="11"/>
      <c r="AA18" s="11"/>
    </row>
    <row r="19" hidden="1" outlineLevel="1">
      <c r="A19" s="16" t="str">
        <f t="shared" si="1"/>
        <v>Vantai_8</v>
      </c>
      <c r="B19" s="17" t="s">
        <v>40</v>
      </c>
      <c r="C19" s="17"/>
      <c r="D19" s="17" t="s">
        <v>29</v>
      </c>
      <c r="E19" s="17" t="s">
        <v>24</v>
      </c>
      <c r="F19" s="17" t="s">
        <v>30</v>
      </c>
      <c r="G19" s="17" t="s">
        <v>31</v>
      </c>
      <c r="H19" s="17" t="s">
        <v>31</v>
      </c>
      <c r="I19" s="18" t="s">
        <v>27</v>
      </c>
      <c r="J19" s="19"/>
      <c r="K19" s="20"/>
      <c r="L19" s="21"/>
      <c r="M19" s="11"/>
      <c r="N19" s="11"/>
      <c r="O19" s="11"/>
      <c r="P19" s="11"/>
      <c r="Q19" s="11"/>
      <c r="R19" s="11"/>
      <c r="S19" s="11"/>
      <c r="T19" s="11"/>
      <c r="U19" s="11"/>
      <c r="V19" s="11"/>
      <c r="W19" s="11"/>
      <c r="X19" s="11"/>
      <c r="Y19" s="11"/>
      <c r="Z19" s="11"/>
      <c r="AA19" s="11"/>
    </row>
    <row r="20" hidden="1" outlineLevel="1">
      <c r="A20" s="16" t="str">
        <f t="shared" si="1"/>
        <v>Vantai_9</v>
      </c>
      <c r="B20" s="22" t="s">
        <v>41</v>
      </c>
      <c r="C20" s="23"/>
      <c r="D20" s="22" t="s">
        <v>33</v>
      </c>
      <c r="E20" s="24" t="s">
        <v>24</v>
      </c>
      <c r="F20" s="22" t="s">
        <v>34</v>
      </c>
      <c r="G20" s="22" t="s">
        <v>35</v>
      </c>
      <c r="H20" s="22" t="s">
        <v>35</v>
      </c>
      <c r="I20" s="25" t="s">
        <v>27</v>
      </c>
      <c r="J20" s="26"/>
      <c r="K20" s="26"/>
      <c r="L20" s="27"/>
      <c r="M20" s="28"/>
      <c r="N20" s="28"/>
      <c r="O20" s="28"/>
      <c r="P20" s="28"/>
      <c r="Q20" s="28"/>
      <c r="R20" s="28"/>
      <c r="S20" s="28"/>
      <c r="T20" s="28"/>
      <c r="U20" s="28"/>
      <c r="V20" s="28"/>
      <c r="W20" s="28"/>
      <c r="X20" s="28"/>
      <c r="Y20" s="28"/>
      <c r="Z20" s="28"/>
      <c r="AA20" s="28"/>
    </row>
    <row r="21">
      <c r="A21" s="13"/>
      <c r="B21" s="14" t="s">
        <v>42</v>
      </c>
      <c r="C21" s="15"/>
      <c r="D21" s="15"/>
      <c r="E21" s="15"/>
      <c r="F21" s="15"/>
      <c r="G21" s="15"/>
      <c r="H21" s="15"/>
      <c r="I21" s="15"/>
      <c r="J21" s="15"/>
      <c r="K21" s="3"/>
      <c r="L21" s="11"/>
      <c r="M21" s="11"/>
      <c r="N21" s="11"/>
      <c r="O21" s="11"/>
      <c r="P21" s="11"/>
      <c r="Q21" s="11"/>
      <c r="R21" s="11"/>
      <c r="S21" s="11"/>
      <c r="T21" s="11"/>
      <c r="U21" s="11"/>
      <c r="V21" s="11"/>
      <c r="W21" s="11"/>
      <c r="X21" s="11"/>
      <c r="Y21" s="11"/>
      <c r="Z21" s="11"/>
      <c r="AA21" s="11"/>
    </row>
    <row r="22" outlineLevel="1">
      <c r="A22" s="13"/>
      <c r="B22" s="29" t="s">
        <v>43</v>
      </c>
      <c r="C22" s="15"/>
      <c r="D22" s="15"/>
      <c r="E22" s="15"/>
      <c r="F22" s="15"/>
      <c r="G22" s="15"/>
      <c r="H22" s="15"/>
      <c r="I22" s="15"/>
      <c r="J22" s="15"/>
      <c r="K22" s="3"/>
      <c r="L22" s="11"/>
      <c r="M22" s="11"/>
      <c r="N22" s="11"/>
      <c r="O22" s="11"/>
      <c r="P22" s="11"/>
      <c r="Q22" s="11"/>
      <c r="R22" s="11"/>
      <c r="S22" s="11"/>
      <c r="T22" s="11"/>
      <c r="U22" s="11"/>
      <c r="V22" s="11"/>
      <c r="W22" s="11"/>
      <c r="X22" s="11"/>
      <c r="Y22" s="11"/>
      <c r="Z22" s="11"/>
      <c r="AA22" s="11"/>
    </row>
    <row r="23" outlineLevel="2">
      <c r="A23" s="30" t="str">
        <f t="shared" ref="A23:A36" si="2">IF(G23="", "", $D$2 &amp; "_" &amp; COUNTA($G$12:G23))
</f>
        <v>Vantai_10</v>
      </c>
      <c r="B23" s="31" t="s">
        <v>44</v>
      </c>
      <c r="C23" s="31" t="s">
        <v>45</v>
      </c>
      <c r="D23" s="31" t="s">
        <v>46</v>
      </c>
      <c r="E23" s="18" t="s">
        <v>24</v>
      </c>
      <c r="F23" s="31" t="s">
        <v>47</v>
      </c>
      <c r="G23" s="31" t="s">
        <v>48</v>
      </c>
      <c r="H23" s="31" t="s">
        <v>48</v>
      </c>
      <c r="I23" s="18" t="s">
        <v>27</v>
      </c>
      <c r="J23" s="32"/>
      <c r="K23" s="32"/>
      <c r="L23" s="33"/>
      <c r="M23" s="34"/>
      <c r="N23" s="34"/>
      <c r="O23" s="34"/>
      <c r="P23" s="34"/>
      <c r="Q23" s="34"/>
      <c r="R23" s="34"/>
      <c r="S23" s="34"/>
      <c r="T23" s="34"/>
      <c r="U23" s="34"/>
      <c r="V23" s="34"/>
      <c r="W23" s="34"/>
      <c r="X23" s="34"/>
      <c r="Y23" s="34"/>
      <c r="Z23" s="34"/>
      <c r="AA23" s="34"/>
    </row>
    <row r="24" outlineLevel="2">
      <c r="A24" s="30" t="str">
        <f t="shared" si="2"/>
        <v>Vantai_11</v>
      </c>
      <c r="B24" s="31" t="s">
        <v>49</v>
      </c>
      <c r="C24" s="31" t="s">
        <v>50</v>
      </c>
      <c r="D24" s="31" t="s">
        <v>51</v>
      </c>
      <c r="E24" s="18" t="s">
        <v>24</v>
      </c>
      <c r="F24" s="31" t="s">
        <v>52</v>
      </c>
      <c r="G24" s="31" t="s">
        <v>53</v>
      </c>
      <c r="H24" s="31" t="s">
        <v>53</v>
      </c>
      <c r="I24" s="18" t="s">
        <v>27</v>
      </c>
      <c r="J24" s="32"/>
      <c r="K24" s="32"/>
      <c r="L24" s="33"/>
      <c r="M24" s="34"/>
      <c r="N24" s="34"/>
      <c r="O24" s="34"/>
      <c r="P24" s="34"/>
      <c r="Q24" s="34"/>
      <c r="R24" s="34"/>
      <c r="S24" s="34"/>
      <c r="T24" s="34"/>
      <c r="U24" s="34"/>
      <c r="V24" s="34"/>
      <c r="W24" s="34"/>
      <c r="X24" s="34"/>
      <c r="Y24" s="34"/>
      <c r="Z24" s="34"/>
      <c r="AA24" s="34"/>
    </row>
    <row r="25" outlineLevel="2">
      <c r="A25" s="30" t="str">
        <f t="shared" si="2"/>
        <v>Vantai_12</v>
      </c>
      <c r="B25" s="31" t="s">
        <v>54</v>
      </c>
      <c r="C25" s="31" t="s">
        <v>55</v>
      </c>
      <c r="D25" s="31" t="s">
        <v>56</v>
      </c>
      <c r="E25" s="18" t="s">
        <v>24</v>
      </c>
      <c r="F25" s="31" t="s">
        <v>57</v>
      </c>
      <c r="G25" s="31" t="s">
        <v>58</v>
      </c>
      <c r="H25" s="31" t="s">
        <v>58</v>
      </c>
      <c r="I25" s="18" t="s">
        <v>27</v>
      </c>
      <c r="J25" s="32"/>
      <c r="K25" s="32"/>
      <c r="L25" s="33"/>
      <c r="M25" s="34"/>
      <c r="N25" s="34"/>
      <c r="O25" s="34"/>
      <c r="P25" s="34"/>
      <c r="Q25" s="34"/>
      <c r="R25" s="34"/>
      <c r="S25" s="34"/>
      <c r="T25" s="34"/>
      <c r="U25" s="34"/>
      <c r="V25" s="34"/>
      <c r="W25" s="34"/>
      <c r="X25" s="34"/>
      <c r="Y25" s="34"/>
      <c r="Z25" s="34"/>
      <c r="AA25" s="34"/>
    </row>
    <row r="26" outlineLevel="2">
      <c r="A26" s="30" t="str">
        <f t="shared" si="2"/>
        <v>Vantai_13</v>
      </c>
      <c r="B26" s="31" t="s">
        <v>59</v>
      </c>
      <c r="C26" s="31" t="s">
        <v>60</v>
      </c>
      <c r="D26" s="31" t="s">
        <v>61</v>
      </c>
      <c r="E26" s="18" t="s">
        <v>62</v>
      </c>
      <c r="F26" s="31" t="s">
        <v>63</v>
      </c>
      <c r="G26" s="31" t="s">
        <v>64</v>
      </c>
      <c r="H26" s="31" t="s">
        <v>65</v>
      </c>
      <c r="I26" s="18" t="s">
        <v>66</v>
      </c>
      <c r="J26" s="32"/>
      <c r="K26" s="32"/>
      <c r="L26" s="33"/>
      <c r="M26" s="34"/>
      <c r="N26" s="34"/>
      <c r="O26" s="34"/>
      <c r="P26" s="34"/>
      <c r="Q26" s="34"/>
      <c r="R26" s="34"/>
      <c r="S26" s="34"/>
      <c r="T26" s="34"/>
      <c r="U26" s="34"/>
      <c r="V26" s="34"/>
      <c r="W26" s="34"/>
      <c r="X26" s="34"/>
      <c r="Y26" s="34"/>
      <c r="Z26" s="34"/>
      <c r="AA26" s="34"/>
    </row>
    <row r="27" outlineLevel="2">
      <c r="A27" s="30" t="str">
        <f t="shared" si="2"/>
        <v>Vantai_14</v>
      </c>
      <c r="B27" s="31" t="s">
        <v>67</v>
      </c>
      <c r="C27" s="31" t="s">
        <v>68</v>
      </c>
      <c r="D27" s="31" t="s">
        <v>69</v>
      </c>
      <c r="E27" s="18" t="s">
        <v>62</v>
      </c>
      <c r="F27" s="31" t="s">
        <v>63</v>
      </c>
      <c r="G27" s="31" t="s">
        <v>70</v>
      </c>
      <c r="H27" s="31" t="s">
        <v>65</v>
      </c>
      <c r="I27" s="18" t="s">
        <v>66</v>
      </c>
      <c r="J27" s="32"/>
      <c r="K27" s="32"/>
      <c r="L27" s="33"/>
      <c r="M27" s="34"/>
      <c r="N27" s="34"/>
      <c r="O27" s="34"/>
      <c r="P27" s="34"/>
      <c r="Q27" s="34"/>
      <c r="R27" s="34"/>
      <c r="S27" s="34"/>
      <c r="T27" s="34"/>
      <c r="U27" s="34"/>
      <c r="V27" s="34"/>
      <c r="W27" s="34"/>
      <c r="X27" s="34"/>
      <c r="Y27" s="34"/>
      <c r="Z27" s="34"/>
      <c r="AA27" s="34"/>
    </row>
    <row r="28" outlineLevel="2">
      <c r="A28" s="30" t="str">
        <f t="shared" si="2"/>
        <v>Vantai_15</v>
      </c>
      <c r="B28" s="31" t="s">
        <v>71</v>
      </c>
      <c r="C28" s="31" t="s">
        <v>72</v>
      </c>
      <c r="D28" s="31" t="s">
        <v>73</v>
      </c>
      <c r="E28" s="18" t="s">
        <v>62</v>
      </c>
      <c r="F28" s="31" t="s">
        <v>74</v>
      </c>
      <c r="G28" s="31" t="s">
        <v>75</v>
      </c>
      <c r="H28" s="31" t="s">
        <v>75</v>
      </c>
      <c r="I28" s="18" t="s">
        <v>27</v>
      </c>
      <c r="J28" s="32"/>
      <c r="K28" s="32"/>
      <c r="L28" s="33"/>
      <c r="M28" s="34"/>
      <c r="N28" s="34"/>
      <c r="O28" s="34"/>
      <c r="P28" s="34"/>
      <c r="Q28" s="34"/>
      <c r="R28" s="34"/>
      <c r="S28" s="34"/>
      <c r="T28" s="34"/>
      <c r="U28" s="34"/>
      <c r="V28" s="34"/>
      <c r="W28" s="34"/>
      <c r="X28" s="34"/>
      <c r="Y28" s="34"/>
      <c r="Z28" s="34"/>
      <c r="AA28" s="34"/>
    </row>
    <row r="29" outlineLevel="2">
      <c r="A29" s="30" t="str">
        <f t="shared" si="2"/>
        <v>Vantai_16</v>
      </c>
      <c r="B29" s="31" t="s">
        <v>76</v>
      </c>
      <c r="C29" s="31" t="s">
        <v>72</v>
      </c>
      <c r="D29" s="31" t="s">
        <v>77</v>
      </c>
      <c r="E29" s="18" t="s">
        <v>62</v>
      </c>
      <c r="F29" s="31" t="s">
        <v>74</v>
      </c>
      <c r="G29" s="31" t="s">
        <v>78</v>
      </c>
      <c r="H29" s="31" t="s">
        <v>78</v>
      </c>
      <c r="I29" s="18" t="s">
        <v>27</v>
      </c>
      <c r="J29" s="32"/>
      <c r="K29" s="35"/>
      <c r="L29" s="34"/>
      <c r="M29" s="34"/>
      <c r="N29" s="34"/>
      <c r="O29" s="34"/>
      <c r="P29" s="34"/>
      <c r="Q29" s="34"/>
      <c r="R29" s="34"/>
      <c r="S29" s="34"/>
      <c r="T29" s="34"/>
      <c r="U29" s="34"/>
      <c r="V29" s="34"/>
      <c r="W29" s="34"/>
      <c r="X29" s="34"/>
      <c r="Y29" s="34"/>
      <c r="Z29" s="34"/>
      <c r="AA29" s="34"/>
    </row>
    <row r="30" outlineLevel="2">
      <c r="A30" s="30" t="str">
        <f t="shared" si="2"/>
        <v>Vantai_17</v>
      </c>
      <c r="B30" s="31" t="s">
        <v>79</v>
      </c>
      <c r="C30" s="31" t="s">
        <v>80</v>
      </c>
      <c r="D30" s="31" t="s">
        <v>81</v>
      </c>
      <c r="E30" s="18" t="s">
        <v>62</v>
      </c>
      <c r="F30" s="31" t="s">
        <v>74</v>
      </c>
      <c r="G30" s="31" t="s">
        <v>82</v>
      </c>
      <c r="H30" s="31" t="s">
        <v>82</v>
      </c>
      <c r="I30" s="18" t="s">
        <v>27</v>
      </c>
      <c r="J30" s="32"/>
      <c r="K30" s="35"/>
      <c r="L30" s="34"/>
      <c r="M30" s="34"/>
      <c r="N30" s="34"/>
      <c r="O30" s="34"/>
      <c r="P30" s="34"/>
      <c r="Q30" s="34"/>
      <c r="R30" s="34"/>
      <c r="S30" s="34"/>
      <c r="T30" s="34"/>
      <c r="U30" s="34"/>
      <c r="V30" s="34"/>
      <c r="W30" s="34"/>
      <c r="X30" s="34"/>
      <c r="Y30" s="34"/>
      <c r="Z30" s="34"/>
      <c r="AA30" s="34"/>
    </row>
    <row r="31" outlineLevel="2">
      <c r="A31" s="30" t="str">
        <f t="shared" si="2"/>
        <v>Vantai_18</v>
      </c>
      <c r="B31" s="31" t="s">
        <v>83</v>
      </c>
      <c r="C31" s="31" t="s">
        <v>84</v>
      </c>
      <c r="D31" s="31" t="s">
        <v>85</v>
      </c>
      <c r="E31" s="18" t="s">
        <v>62</v>
      </c>
      <c r="F31" s="31" t="s">
        <v>63</v>
      </c>
      <c r="G31" s="31" t="s">
        <v>86</v>
      </c>
      <c r="H31" s="31" t="s">
        <v>86</v>
      </c>
      <c r="I31" s="18" t="s">
        <v>27</v>
      </c>
      <c r="J31" s="32"/>
      <c r="K31" s="35"/>
      <c r="L31" s="34"/>
      <c r="M31" s="34"/>
      <c r="N31" s="34"/>
      <c r="O31" s="34"/>
      <c r="P31" s="34"/>
      <c r="Q31" s="34"/>
      <c r="R31" s="34"/>
      <c r="S31" s="34"/>
      <c r="T31" s="34"/>
      <c r="U31" s="34"/>
      <c r="V31" s="34"/>
      <c r="W31" s="34"/>
      <c r="X31" s="34"/>
      <c r="Y31" s="34"/>
      <c r="Z31" s="34"/>
      <c r="AA31" s="34"/>
    </row>
    <row r="32" outlineLevel="2">
      <c r="A32" s="30" t="str">
        <f t="shared" si="2"/>
        <v>Vantai_19</v>
      </c>
      <c r="B32" s="31" t="s">
        <v>87</v>
      </c>
      <c r="C32" s="31" t="s">
        <v>88</v>
      </c>
      <c r="D32" s="31" t="s">
        <v>89</v>
      </c>
      <c r="E32" s="18" t="s">
        <v>62</v>
      </c>
      <c r="F32" s="31" t="s">
        <v>63</v>
      </c>
      <c r="G32" s="31" t="s">
        <v>90</v>
      </c>
      <c r="H32" s="31" t="s">
        <v>90</v>
      </c>
      <c r="I32" s="18" t="s">
        <v>27</v>
      </c>
      <c r="J32" s="32"/>
      <c r="K32" s="35"/>
      <c r="L32" s="34"/>
      <c r="M32" s="34"/>
      <c r="N32" s="34"/>
      <c r="O32" s="34"/>
      <c r="P32" s="34"/>
      <c r="Q32" s="34"/>
      <c r="R32" s="34"/>
      <c r="S32" s="34"/>
      <c r="T32" s="34"/>
      <c r="U32" s="34"/>
      <c r="V32" s="34"/>
      <c r="W32" s="34"/>
      <c r="X32" s="34"/>
      <c r="Y32" s="34"/>
      <c r="Z32" s="34"/>
      <c r="AA32" s="34"/>
    </row>
    <row r="33" outlineLevel="2">
      <c r="A33" s="30" t="str">
        <f t="shared" si="2"/>
        <v>Vantai_20</v>
      </c>
      <c r="B33" s="31" t="s">
        <v>91</v>
      </c>
      <c r="C33" s="31" t="s">
        <v>84</v>
      </c>
      <c r="D33" s="31" t="s">
        <v>92</v>
      </c>
      <c r="E33" s="18" t="s">
        <v>62</v>
      </c>
      <c r="F33" s="31" t="s">
        <v>74</v>
      </c>
      <c r="G33" s="31" t="s">
        <v>93</v>
      </c>
      <c r="H33" s="31" t="s">
        <v>93</v>
      </c>
      <c r="I33" s="18" t="s">
        <v>27</v>
      </c>
      <c r="J33" s="32"/>
      <c r="K33" s="35"/>
      <c r="L33" s="34"/>
      <c r="M33" s="34"/>
      <c r="N33" s="34"/>
      <c r="O33" s="34"/>
      <c r="P33" s="34"/>
      <c r="Q33" s="34"/>
      <c r="R33" s="34"/>
      <c r="S33" s="34"/>
      <c r="T33" s="34"/>
      <c r="U33" s="34"/>
      <c r="V33" s="34"/>
      <c r="W33" s="34"/>
      <c r="X33" s="34"/>
      <c r="Y33" s="34"/>
      <c r="Z33" s="34"/>
      <c r="AA33" s="34"/>
    </row>
    <row r="34" outlineLevel="2">
      <c r="A34" s="30" t="str">
        <f t="shared" si="2"/>
        <v>Vantai_21</v>
      </c>
      <c r="B34" s="31" t="s">
        <v>94</v>
      </c>
      <c r="C34" s="31" t="s">
        <v>95</v>
      </c>
      <c r="D34" s="31" t="s">
        <v>96</v>
      </c>
      <c r="E34" s="18" t="s">
        <v>62</v>
      </c>
      <c r="F34" s="31" t="s">
        <v>97</v>
      </c>
      <c r="G34" s="31" t="s">
        <v>98</v>
      </c>
      <c r="H34" s="31" t="s">
        <v>99</v>
      </c>
      <c r="I34" s="18" t="s">
        <v>66</v>
      </c>
      <c r="J34" s="32"/>
      <c r="K34" s="35"/>
      <c r="L34" s="34"/>
      <c r="M34" s="34"/>
      <c r="N34" s="34"/>
      <c r="O34" s="34"/>
      <c r="P34" s="34"/>
      <c r="Q34" s="34"/>
      <c r="R34" s="34"/>
      <c r="S34" s="34"/>
      <c r="T34" s="34"/>
      <c r="U34" s="34"/>
      <c r="V34" s="34"/>
      <c r="W34" s="34"/>
      <c r="X34" s="34"/>
      <c r="Y34" s="34"/>
      <c r="Z34" s="34"/>
      <c r="AA34" s="34"/>
    </row>
    <row r="35" outlineLevel="2">
      <c r="A35" s="30" t="str">
        <f t="shared" si="2"/>
        <v>Vantai_22</v>
      </c>
      <c r="B35" s="31" t="s">
        <v>100</v>
      </c>
      <c r="C35" s="31" t="s">
        <v>101</v>
      </c>
      <c r="D35" s="31" t="s">
        <v>96</v>
      </c>
      <c r="E35" s="18" t="s">
        <v>62</v>
      </c>
      <c r="F35" s="31" t="s">
        <v>97</v>
      </c>
      <c r="G35" s="31" t="s">
        <v>98</v>
      </c>
      <c r="H35" s="31" t="s">
        <v>98</v>
      </c>
      <c r="I35" s="18" t="s">
        <v>27</v>
      </c>
      <c r="J35" s="32"/>
      <c r="K35" s="35"/>
      <c r="L35" s="34"/>
      <c r="M35" s="34"/>
      <c r="N35" s="34"/>
      <c r="O35" s="34"/>
      <c r="P35" s="34"/>
      <c r="Q35" s="34"/>
      <c r="R35" s="34"/>
      <c r="S35" s="34"/>
      <c r="T35" s="34"/>
      <c r="U35" s="34"/>
      <c r="V35" s="34"/>
      <c r="W35" s="34"/>
      <c r="X35" s="34"/>
      <c r="Y35" s="34"/>
      <c r="Z35" s="34"/>
      <c r="AA35" s="34"/>
    </row>
    <row r="36" outlineLevel="2">
      <c r="A36" s="30" t="str">
        <f t="shared" si="2"/>
        <v>Vantai_23</v>
      </c>
      <c r="B36" s="31" t="s">
        <v>102</v>
      </c>
      <c r="C36" s="31" t="s">
        <v>103</v>
      </c>
      <c r="D36" s="31" t="s">
        <v>104</v>
      </c>
      <c r="E36" s="18" t="s">
        <v>62</v>
      </c>
      <c r="F36" s="31" t="s">
        <v>63</v>
      </c>
      <c r="G36" s="31" t="s">
        <v>105</v>
      </c>
      <c r="H36" s="31" t="s">
        <v>105</v>
      </c>
      <c r="I36" s="18" t="s">
        <v>27</v>
      </c>
      <c r="J36" s="32"/>
      <c r="K36" s="35"/>
      <c r="L36" s="34"/>
      <c r="M36" s="34"/>
      <c r="N36" s="34"/>
      <c r="O36" s="34"/>
      <c r="P36" s="34"/>
      <c r="Q36" s="34"/>
      <c r="R36" s="34"/>
      <c r="S36" s="34"/>
      <c r="T36" s="34"/>
      <c r="U36" s="34"/>
      <c r="V36" s="34"/>
      <c r="W36" s="34"/>
      <c r="X36" s="34"/>
      <c r="Y36" s="34"/>
      <c r="Z36" s="34"/>
      <c r="AA36" s="34"/>
    </row>
    <row r="37" outlineLevel="2">
      <c r="A37" s="30" t="str">
        <f>IF(H37="", "", $D$2 &amp; "_" &amp; COUNTA($G$12:G37))
</f>
        <v>Vantai_24</v>
      </c>
      <c r="B37" s="31" t="s">
        <v>106</v>
      </c>
      <c r="C37" s="31" t="s">
        <v>107</v>
      </c>
      <c r="D37" s="31" t="s">
        <v>108</v>
      </c>
      <c r="E37" s="18" t="s">
        <v>24</v>
      </c>
      <c r="F37" s="31" t="s">
        <v>63</v>
      </c>
      <c r="G37" s="31" t="s">
        <v>109</v>
      </c>
      <c r="H37" s="31" t="s">
        <v>109</v>
      </c>
      <c r="I37" s="18" t="s">
        <v>27</v>
      </c>
      <c r="J37" s="32"/>
      <c r="K37" s="35"/>
      <c r="L37" s="34"/>
      <c r="M37" s="34"/>
      <c r="N37" s="34"/>
      <c r="O37" s="34"/>
      <c r="P37" s="34"/>
      <c r="Q37" s="34"/>
      <c r="R37" s="34"/>
      <c r="S37" s="34"/>
      <c r="T37" s="34"/>
      <c r="U37" s="34"/>
      <c r="V37" s="34"/>
      <c r="W37" s="34"/>
      <c r="X37" s="34"/>
      <c r="Y37" s="34"/>
      <c r="Z37" s="34"/>
      <c r="AA37" s="34"/>
    </row>
    <row r="38" outlineLevel="2">
      <c r="A38" s="30" t="str">
        <f t="shared" ref="A38:A43" si="3">IF(G38="", "", $D$2 &amp; "_" &amp; COUNTA($G$12:G38))
</f>
        <v>Vantai_25</v>
      </c>
      <c r="B38" s="31" t="s">
        <v>110</v>
      </c>
      <c r="C38" s="31" t="s">
        <v>111</v>
      </c>
      <c r="D38" s="31" t="s">
        <v>112</v>
      </c>
      <c r="E38" s="18" t="s">
        <v>24</v>
      </c>
      <c r="F38" s="31" t="s">
        <v>63</v>
      </c>
      <c r="G38" s="31" t="s">
        <v>113</v>
      </c>
      <c r="H38" s="31" t="s">
        <v>113</v>
      </c>
      <c r="I38" s="18" t="s">
        <v>27</v>
      </c>
      <c r="J38" s="32"/>
      <c r="K38" s="35"/>
      <c r="L38" s="34"/>
      <c r="M38" s="34"/>
      <c r="N38" s="34"/>
      <c r="O38" s="34"/>
      <c r="P38" s="34"/>
      <c r="Q38" s="34"/>
      <c r="R38" s="34"/>
      <c r="S38" s="34"/>
      <c r="T38" s="34"/>
      <c r="U38" s="34"/>
      <c r="V38" s="34"/>
      <c r="W38" s="34"/>
      <c r="X38" s="34"/>
      <c r="Y38" s="34"/>
      <c r="Z38" s="34"/>
      <c r="AA38" s="34"/>
    </row>
    <row r="39" outlineLevel="2">
      <c r="A39" s="30" t="str">
        <f t="shared" si="3"/>
        <v>Vantai_26</v>
      </c>
      <c r="B39" s="31" t="s">
        <v>114</v>
      </c>
      <c r="C39" s="31" t="s">
        <v>115</v>
      </c>
      <c r="D39" s="31" t="s">
        <v>116</v>
      </c>
      <c r="E39" s="18" t="s">
        <v>24</v>
      </c>
      <c r="F39" s="31" t="s">
        <v>30</v>
      </c>
      <c r="G39" s="31" t="s">
        <v>117</v>
      </c>
      <c r="H39" s="31" t="s">
        <v>117</v>
      </c>
      <c r="I39" s="18" t="s">
        <v>27</v>
      </c>
      <c r="J39" s="32"/>
      <c r="K39" s="35"/>
      <c r="L39" s="34"/>
      <c r="M39" s="34"/>
      <c r="N39" s="34"/>
      <c r="O39" s="34"/>
      <c r="P39" s="34"/>
      <c r="Q39" s="34"/>
      <c r="R39" s="34"/>
      <c r="S39" s="34"/>
      <c r="T39" s="34"/>
      <c r="U39" s="34"/>
      <c r="V39" s="34"/>
      <c r="W39" s="34"/>
      <c r="X39" s="34"/>
      <c r="Y39" s="34"/>
      <c r="Z39" s="34"/>
      <c r="AA39" s="34"/>
    </row>
    <row r="40" outlineLevel="2">
      <c r="A40" s="30" t="str">
        <f t="shared" si="3"/>
        <v>Vantai_27</v>
      </c>
      <c r="B40" s="31" t="s">
        <v>118</v>
      </c>
      <c r="C40" s="31" t="s">
        <v>119</v>
      </c>
      <c r="D40" s="31" t="s">
        <v>120</v>
      </c>
      <c r="E40" s="18" t="s">
        <v>24</v>
      </c>
      <c r="F40" s="31" t="s">
        <v>30</v>
      </c>
      <c r="G40" s="31" t="s">
        <v>121</v>
      </c>
      <c r="H40" s="31" t="s">
        <v>121</v>
      </c>
      <c r="I40" s="18" t="s">
        <v>27</v>
      </c>
      <c r="J40" s="32"/>
      <c r="K40" s="35"/>
      <c r="L40" s="34"/>
      <c r="M40" s="34"/>
      <c r="N40" s="34"/>
      <c r="O40" s="34"/>
      <c r="P40" s="34"/>
      <c r="Q40" s="34"/>
      <c r="R40" s="34"/>
      <c r="S40" s="34"/>
      <c r="T40" s="34"/>
      <c r="U40" s="34"/>
      <c r="V40" s="34"/>
      <c r="W40" s="34"/>
      <c r="X40" s="34"/>
      <c r="Y40" s="34"/>
      <c r="Z40" s="34"/>
      <c r="AA40" s="34"/>
    </row>
    <row r="41" outlineLevel="2">
      <c r="A41" s="30" t="str">
        <f t="shared" si="3"/>
        <v>Vantai_28</v>
      </c>
      <c r="B41" s="31" t="s">
        <v>122</v>
      </c>
      <c r="C41" s="31" t="s">
        <v>123</v>
      </c>
      <c r="D41" s="31" t="s">
        <v>124</v>
      </c>
      <c r="E41" s="18" t="s">
        <v>24</v>
      </c>
      <c r="F41" s="31" t="s">
        <v>30</v>
      </c>
      <c r="G41" s="31" t="s">
        <v>125</v>
      </c>
      <c r="H41" s="31" t="s">
        <v>125</v>
      </c>
      <c r="I41" s="18" t="s">
        <v>27</v>
      </c>
      <c r="J41" s="32"/>
      <c r="K41" s="35"/>
      <c r="L41" s="34"/>
      <c r="M41" s="34"/>
      <c r="N41" s="34"/>
      <c r="O41" s="34"/>
      <c r="P41" s="34"/>
      <c r="Q41" s="34"/>
      <c r="R41" s="34"/>
      <c r="S41" s="34"/>
      <c r="T41" s="34"/>
      <c r="U41" s="34"/>
      <c r="V41" s="34"/>
      <c r="W41" s="34"/>
      <c r="X41" s="34"/>
      <c r="Y41" s="34"/>
      <c r="Z41" s="34"/>
      <c r="AA41" s="34"/>
    </row>
    <row r="42" outlineLevel="2">
      <c r="A42" s="30" t="str">
        <f t="shared" si="3"/>
        <v>Vantai_29</v>
      </c>
      <c r="B42" s="31" t="s">
        <v>126</v>
      </c>
      <c r="C42" s="31"/>
      <c r="D42" s="31" t="s">
        <v>127</v>
      </c>
      <c r="E42" s="18" t="s">
        <v>24</v>
      </c>
      <c r="F42" s="31" t="s">
        <v>30</v>
      </c>
      <c r="G42" s="31" t="s">
        <v>128</v>
      </c>
      <c r="H42" s="31" t="s">
        <v>128</v>
      </c>
      <c r="I42" s="18" t="s">
        <v>27</v>
      </c>
      <c r="J42" s="32"/>
      <c r="K42" s="35"/>
      <c r="L42" s="34"/>
      <c r="M42" s="34"/>
      <c r="N42" s="34"/>
      <c r="O42" s="34"/>
      <c r="P42" s="34"/>
      <c r="Q42" s="34"/>
      <c r="R42" s="34"/>
      <c r="S42" s="34"/>
      <c r="T42" s="34"/>
      <c r="U42" s="34"/>
      <c r="V42" s="34"/>
      <c r="W42" s="34"/>
      <c r="X42" s="34"/>
      <c r="Y42" s="34"/>
      <c r="Z42" s="34"/>
      <c r="AA42" s="34"/>
    </row>
    <row r="43" outlineLevel="2">
      <c r="A43" s="30" t="str">
        <f t="shared" si="3"/>
        <v>Vantai_30</v>
      </c>
      <c r="B43" s="31" t="s">
        <v>129</v>
      </c>
      <c r="C43" s="31"/>
      <c r="D43" s="31" t="s">
        <v>130</v>
      </c>
      <c r="E43" s="18" t="s">
        <v>24</v>
      </c>
      <c r="F43" s="31" t="s">
        <v>30</v>
      </c>
      <c r="G43" s="31" t="s">
        <v>131</v>
      </c>
      <c r="H43" s="31" t="s">
        <v>131</v>
      </c>
      <c r="I43" s="18" t="s">
        <v>27</v>
      </c>
      <c r="J43" s="32"/>
      <c r="K43" s="35"/>
      <c r="L43" s="34"/>
      <c r="M43" s="34"/>
      <c r="N43" s="34"/>
      <c r="O43" s="34"/>
      <c r="P43" s="34"/>
      <c r="Q43" s="34"/>
      <c r="R43" s="34"/>
      <c r="S43" s="34"/>
      <c r="T43" s="34"/>
      <c r="U43" s="34"/>
      <c r="V43" s="34"/>
      <c r="W43" s="34"/>
      <c r="X43" s="34"/>
      <c r="Y43" s="34"/>
      <c r="Z43" s="34"/>
      <c r="AA43" s="34"/>
    </row>
    <row r="44" outlineLevel="1">
      <c r="A44" s="13"/>
      <c r="B44" s="29" t="s">
        <v>132</v>
      </c>
      <c r="C44" s="15"/>
      <c r="D44" s="15"/>
      <c r="E44" s="15"/>
      <c r="F44" s="15"/>
      <c r="G44" s="15"/>
      <c r="H44" s="15"/>
      <c r="I44" s="15"/>
      <c r="J44" s="15"/>
      <c r="K44" s="3"/>
      <c r="L44" s="11"/>
      <c r="M44" s="11"/>
      <c r="N44" s="11"/>
      <c r="O44" s="11"/>
      <c r="P44" s="11"/>
      <c r="Q44" s="11"/>
      <c r="R44" s="11"/>
      <c r="S44" s="11"/>
      <c r="T44" s="11"/>
      <c r="U44" s="11"/>
      <c r="V44" s="11"/>
      <c r="W44" s="11"/>
      <c r="X44" s="11"/>
      <c r="Y44" s="11"/>
      <c r="Z44" s="11"/>
      <c r="AA44" s="11"/>
    </row>
    <row r="45" outlineLevel="2">
      <c r="A45" s="30" t="str">
        <f t="shared" ref="A45:A86" si="4">IF(G45="", "", $D$2 &amp; "_" &amp; COUNTA($G$12:G45))
</f>
        <v>Vantai_31</v>
      </c>
      <c r="B45" s="31" t="s">
        <v>133</v>
      </c>
      <c r="C45" s="31"/>
      <c r="D45" s="31" t="s">
        <v>134</v>
      </c>
      <c r="E45" s="18" t="s">
        <v>24</v>
      </c>
      <c r="F45" s="31" t="s">
        <v>25</v>
      </c>
      <c r="G45" s="31" t="s">
        <v>135</v>
      </c>
      <c r="H45" s="31" t="s">
        <v>135</v>
      </c>
      <c r="I45" s="18" t="s">
        <v>27</v>
      </c>
      <c r="J45" s="32"/>
      <c r="K45" s="35"/>
      <c r="L45" s="34"/>
      <c r="M45" s="34"/>
      <c r="N45" s="34"/>
      <c r="O45" s="34"/>
      <c r="P45" s="34"/>
      <c r="Q45" s="34"/>
      <c r="R45" s="34"/>
      <c r="S45" s="34"/>
      <c r="T45" s="34"/>
      <c r="U45" s="34"/>
      <c r="V45" s="34"/>
      <c r="W45" s="34"/>
      <c r="X45" s="34"/>
      <c r="Y45" s="34"/>
      <c r="Z45" s="34"/>
      <c r="AA45" s="34"/>
    </row>
    <row r="46" outlineLevel="2">
      <c r="A46" s="30" t="str">
        <f t="shared" si="4"/>
        <v>Vantai_32</v>
      </c>
      <c r="B46" s="31" t="s">
        <v>136</v>
      </c>
      <c r="C46" s="31"/>
      <c r="D46" s="31" t="s">
        <v>137</v>
      </c>
      <c r="E46" s="18" t="s">
        <v>24</v>
      </c>
      <c r="F46" s="31" t="s">
        <v>25</v>
      </c>
      <c r="G46" s="31" t="s">
        <v>138</v>
      </c>
      <c r="H46" s="31" t="s">
        <v>138</v>
      </c>
      <c r="I46" s="18" t="s">
        <v>27</v>
      </c>
      <c r="J46" s="32"/>
      <c r="K46" s="35"/>
      <c r="L46" s="34"/>
      <c r="M46" s="34"/>
      <c r="N46" s="34"/>
      <c r="O46" s="34"/>
      <c r="P46" s="34"/>
      <c r="Q46" s="34"/>
      <c r="R46" s="34"/>
      <c r="S46" s="34"/>
      <c r="T46" s="34"/>
      <c r="U46" s="34"/>
      <c r="V46" s="34"/>
      <c r="W46" s="34"/>
      <c r="X46" s="34"/>
      <c r="Y46" s="34"/>
      <c r="Z46" s="34"/>
      <c r="AA46" s="34"/>
    </row>
    <row r="47" outlineLevel="2">
      <c r="A47" s="30" t="str">
        <f t="shared" si="4"/>
        <v>Vantai_33</v>
      </c>
      <c r="B47" s="31" t="s">
        <v>139</v>
      </c>
      <c r="C47" s="31"/>
      <c r="D47" s="31" t="s">
        <v>140</v>
      </c>
      <c r="E47" s="18" t="s">
        <v>24</v>
      </c>
      <c r="F47" s="31" t="s">
        <v>25</v>
      </c>
      <c r="G47" s="31" t="s">
        <v>138</v>
      </c>
      <c r="H47" s="31" t="s">
        <v>138</v>
      </c>
      <c r="I47" s="18" t="s">
        <v>27</v>
      </c>
      <c r="J47" s="32"/>
      <c r="K47" s="35"/>
      <c r="L47" s="34"/>
      <c r="M47" s="34"/>
      <c r="N47" s="34"/>
      <c r="O47" s="34"/>
      <c r="P47" s="34"/>
      <c r="Q47" s="34"/>
      <c r="R47" s="34"/>
      <c r="S47" s="34"/>
      <c r="T47" s="34"/>
      <c r="U47" s="34"/>
      <c r="V47" s="34"/>
      <c r="W47" s="34"/>
      <c r="X47" s="34"/>
      <c r="Y47" s="34"/>
      <c r="Z47" s="34"/>
      <c r="AA47" s="34"/>
    </row>
    <row r="48" outlineLevel="2">
      <c r="A48" s="30" t="str">
        <f t="shared" si="4"/>
        <v>Vantai_34</v>
      </c>
      <c r="B48" s="31" t="s">
        <v>141</v>
      </c>
      <c r="C48" s="31"/>
      <c r="D48" s="31" t="s">
        <v>142</v>
      </c>
      <c r="E48" s="18" t="s">
        <v>24</v>
      </c>
      <c r="F48" s="31" t="s">
        <v>25</v>
      </c>
      <c r="G48" s="31" t="s">
        <v>138</v>
      </c>
      <c r="H48" s="31" t="s">
        <v>138</v>
      </c>
      <c r="I48" s="18" t="s">
        <v>27</v>
      </c>
      <c r="J48" s="32"/>
      <c r="K48" s="35"/>
      <c r="L48" s="34"/>
      <c r="M48" s="34"/>
      <c r="N48" s="34"/>
      <c r="O48" s="34"/>
      <c r="P48" s="34"/>
      <c r="Q48" s="34"/>
      <c r="R48" s="34"/>
      <c r="S48" s="34"/>
      <c r="T48" s="34"/>
      <c r="U48" s="34"/>
      <c r="V48" s="34"/>
      <c r="W48" s="34"/>
      <c r="X48" s="34"/>
      <c r="Y48" s="34"/>
      <c r="Z48" s="34"/>
      <c r="AA48" s="34"/>
    </row>
    <row r="49" outlineLevel="2">
      <c r="A49" s="30" t="str">
        <f t="shared" si="4"/>
        <v>Vantai_35</v>
      </c>
      <c r="B49" s="31" t="s">
        <v>143</v>
      </c>
      <c r="C49" s="31"/>
      <c r="D49" s="31" t="s">
        <v>144</v>
      </c>
      <c r="E49" s="18" t="s">
        <v>24</v>
      </c>
      <c r="F49" s="31" t="s">
        <v>25</v>
      </c>
      <c r="G49" s="31" t="s">
        <v>145</v>
      </c>
      <c r="H49" s="31" t="s">
        <v>145</v>
      </c>
      <c r="I49" s="18" t="s">
        <v>27</v>
      </c>
      <c r="J49" s="32"/>
      <c r="K49" s="35"/>
      <c r="L49" s="34"/>
      <c r="M49" s="34"/>
      <c r="N49" s="34"/>
      <c r="O49" s="34"/>
      <c r="P49" s="34"/>
      <c r="Q49" s="34"/>
      <c r="R49" s="34"/>
      <c r="S49" s="34"/>
      <c r="T49" s="34"/>
      <c r="U49" s="34"/>
      <c r="V49" s="34"/>
      <c r="W49" s="34"/>
      <c r="X49" s="34"/>
      <c r="Y49" s="34"/>
      <c r="Z49" s="34"/>
      <c r="AA49" s="34"/>
    </row>
    <row r="50" outlineLevel="2">
      <c r="A50" s="30" t="str">
        <f t="shared" si="4"/>
        <v>Vantai_36</v>
      </c>
      <c r="B50" s="31" t="s">
        <v>146</v>
      </c>
      <c r="C50" s="31"/>
      <c r="D50" s="31" t="s">
        <v>147</v>
      </c>
      <c r="E50" s="18" t="s">
        <v>24</v>
      </c>
      <c r="F50" s="31" t="s">
        <v>25</v>
      </c>
      <c r="G50" s="31" t="s">
        <v>148</v>
      </c>
      <c r="H50" s="31" t="s">
        <v>148</v>
      </c>
      <c r="I50" s="18" t="s">
        <v>27</v>
      </c>
      <c r="J50" s="32"/>
      <c r="K50" s="35"/>
      <c r="L50" s="34"/>
      <c r="M50" s="34"/>
      <c r="N50" s="34"/>
      <c r="O50" s="34"/>
      <c r="P50" s="34"/>
      <c r="Q50" s="34"/>
      <c r="R50" s="34"/>
      <c r="S50" s="34"/>
      <c r="T50" s="34"/>
      <c r="U50" s="34"/>
      <c r="V50" s="34"/>
      <c r="W50" s="34"/>
      <c r="X50" s="34"/>
      <c r="Y50" s="34"/>
      <c r="Z50" s="34"/>
      <c r="AA50" s="34"/>
    </row>
    <row r="51" outlineLevel="2">
      <c r="A51" s="16" t="str">
        <f t="shared" si="4"/>
        <v/>
      </c>
      <c r="B51" s="36" t="s">
        <v>149</v>
      </c>
      <c r="C51" s="15"/>
      <c r="D51" s="15"/>
      <c r="E51" s="15"/>
      <c r="F51" s="15"/>
      <c r="G51" s="15"/>
      <c r="H51" s="15"/>
      <c r="I51" s="15"/>
      <c r="J51" s="15"/>
      <c r="K51" s="3"/>
      <c r="L51" s="11"/>
      <c r="M51" s="11"/>
      <c r="N51" s="11"/>
      <c r="O51" s="11"/>
      <c r="P51" s="11"/>
      <c r="Q51" s="11"/>
      <c r="R51" s="11"/>
      <c r="S51" s="11"/>
      <c r="T51" s="11"/>
      <c r="U51" s="11"/>
      <c r="V51" s="11"/>
      <c r="W51" s="11"/>
      <c r="X51" s="11"/>
      <c r="Y51" s="11"/>
      <c r="Z51" s="11"/>
      <c r="AA51" s="11"/>
    </row>
    <row r="52" outlineLevel="3">
      <c r="A52" s="30" t="str">
        <f t="shared" si="4"/>
        <v>Vantai_37</v>
      </c>
      <c r="B52" s="31" t="s">
        <v>133</v>
      </c>
      <c r="C52" s="31" t="s">
        <v>150</v>
      </c>
      <c r="D52" s="31" t="s">
        <v>151</v>
      </c>
      <c r="E52" s="31" t="s">
        <v>62</v>
      </c>
      <c r="F52" s="31" t="s">
        <v>152</v>
      </c>
      <c r="G52" s="31" t="s">
        <v>153</v>
      </c>
      <c r="H52" s="31" t="s">
        <v>153</v>
      </c>
      <c r="I52" s="18" t="s">
        <v>27</v>
      </c>
      <c r="J52" s="37"/>
      <c r="K52" s="33"/>
      <c r="L52" s="34"/>
      <c r="M52" s="34"/>
      <c r="N52" s="34"/>
      <c r="O52" s="34"/>
      <c r="P52" s="34"/>
      <c r="Q52" s="34"/>
      <c r="R52" s="34"/>
      <c r="S52" s="34"/>
      <c r="T52" s="34"/>
      <c r="U52" s="34"/>
      <c r="V52" s="34"/>
      <c r="W52" s="34"/>
      <c r="X52" s="34"/>
      <c r="Y52" s="34"/>
      <c r="Z52" s="34"/>
      <c r="AA52" s="34"/>
    </row>
    <row r="53" outlineLevel="3">
      <c r="A53" s="30" t="str">
        <f t="shared" si="4"/>
        <v>Vantai_38</v>
      </c>
      <c r="B53" s="31" t="s">
        <v>154</v>
      </c>
      <c r="C53" s="31" t="s">
        <v>150</v>
      </c>
      <c r="D53" s="31" t="s">
        <v>155</v>
      </c>
      <c r="E53" s="31" t="s">
        <v>62</v>
      </c>
      <c r="F53" s="31" t="s">
        <v>152</v>
      </c>
      <c r="G53" s="31" t="s">
        <v>156</v>
      </c>
      <c r="H53" s="31" t="s">
        <v>156</v>
      </c>
      <c r="I53" s="18" t="s">
        <v>27</v>
      </c>
      <c r="J53" s="37"/>
      <c r="K53" s="33"/>
      <c r="L53" s="34"/>
      <c r="M53" s="34"/>
      <c r="N53" s="34"/>
      <c r="O53" s="34"/>
      <c r="P53" s="34"/>
      <c r="Q53" s="34"/>
      <c r="R53" s="34"/>
      <c r="S53" s="34"/>
      <c r="T53" s="34"/>
      <c r="U53" s="34"/>
      <c r="V53" s="34"/>
      <c r="W53" s="34"/>
      <c r="X53" s="34"/>
      <c r="Y53" s="34"/>
      <c r="Z53" s="34"/>
      <c r="AA53" s="34"/>
    </row>
    <row r="54" outlineLevel="3">
      <c r="A54" s="30" t="str">
        <f t="shared" si="4"/>
        <v>Vantai_39</v>
      </c>
      <c r="B54" s="31" t="s">
        <v>157</v>
      </c>
      <c r="C54" s="31" t="s">
        <v>158</v>
      </c>
      <c r="D54" s="31" t="s">
        <v>155</v>
      </c>
      <c r="E54" s="31" t="s">
        <v>62</v>
      </c>
      <c r="F54" s="31" t="s">
        <v>152</v>
      </c>
      <c r="G54" s="31" t="s">
        <v>159</v>
      </c>
      <c r="H54" s="31" t="s">
        <v>159</v>
      </c>
      <c r="I54" s="18" t="s">
        <v>27</v>
      </c>
      <c r="J54" s="37"/>
      <c r="K54" s="33"/>
      <c r="L54" s="34"/>
      <c r="M54" s="34"/>
      <c r="N54" s="34"/>
      <c r="O54" s="34"/>
      <c r="P54" s="34"/>
      <c r="Q54" s="34"/>
      <c r="R54" s="34"/>
      <c r="S54" s="34"/>
      <c r="T54" s="34"/>
      <c r="U54" s="34"/>
      <c r="V54" s="34"/>
      <c r="W54" s="34"/>
      <c r="X54" s="34"/>
      <c r="Y54" s="34"/>
      <c r="Z54" s="34"/>
      <c r="AA54" s="34"/>
    </row>
    <row r="55" outlineLevel="3">
      <c r="A55" s="30" t="str">
        <f t="shared" si="4"/>
        <v>Vantai_40</v>
      </c>
      <c r="B55" s="31" t="s">
        <v>160</v>
      </c>
      <c r="C55" s="31" t="s">
        <v>158</v>
      </c>
      <c r="D55" s="31" t="s">
        <v>155</v>
      </c>
      <c r="E55" s="31" t="s">
        <v>62</v>
      </c>
      <c r="F55" s="31" t="s">
        <v>152</v>
      </c>
      <c r="G55" s="31" t="s">
        <v>161</v>
      </c>
      <c r="H55" s="31" t="s">
        <v>161</v>
      </c>
      <c r="I55" s="18" t="s">
        <v>27</v>
      </c>
      <c r="J55" s="37"/>
      <c r="K55" s="33"/>
      <c r="L55" s="34"/>
      <c r="M55" s="34"/>
      <c r="N55" s="34"/>
      <c r="O55" s="34"/>
      <c r="P55" s="34"/>
      <c r="Q55" s="34"/>
      <c r="R55" s="34"/>
      <c r="S55" s="34"/>
      <c r="T55" s="34"/>
      <c r="U55" s="34"/>
      <c r="V55" s="34"/>
      <c r="W55" s="34"/>
      <c r="X55" s="34"/>
      <c r="Y55" s="34"/>
      <c r="Z55" s="34"/>
      <c r="AA55" s="34"/>
    </row>
    <row r="56" outlineLevel="3">
      <c r="A56" s="30" t="str">
        <f t="shared" si="4"/>
        <v>Vantai_41</v>
      </c>
      <c r="B56" s="31" t="s">
        <v>162</v>
      </c>
      <c r="C56" s="31" t="s">
        <v>158</v>
      </c>
      <c r="D56" s="31" t="s">
        <v>155</v>
      </c>
      <c r="E56" s="31" t="s">
        <v>62</v>
      </c>
      <c r="F56" s="31" t="s">
        <v>152</v>
      </c>
      <c r="G56" s="31" t="s">
        <v>163</v>
      </c>
      <c r="H56" s="31" t="s">
        <v>163</v>
      </c>
      <c r="I56" s="18" t="s">
        <v>27</v>
      </c>
      <c r="J56" s="37"/>
      <c r="K56" s="33"/>
      <c r="L56" s="34"/>
      <c r="M56" s="34"/>
      <c r="N56" s="34"/>
      <c r="O56" s="34"/>
      <c r="P56" s="34"/>
      <c r="Q56" s="34"/>
      <c r="R56" s="34"/>
      <c r="S56" s="34"/>
      <c r="T56" s="34"/>
      <c r="U56" s="34"/>
      <c r="V56" s="34"/>
      <c r="W56" s="34"/>
      <c r="X56" s="34"/>
      <c r="Y56" s="34"/>
      <c r="Z56" s="34"/>
      <c r="AA56" s="34"/>
    </row>
    <row r="57" outlineLevel="3">
      <c r="A57" s="30" t="str">
        <f t="shared" si="4"/>
        <v>Vantai_42</v>
      </c>
      <c r="B57" s="31" t="s">
        <v>164</v>
      </c>
      <c r="C57" s="31" t="s">
        <v>165</v>
      </c>
      <c r="D57" s="31" t="s">
        <v>166</v>
      </c>
      <c r="E57" s="31" t="s">
        <v>62</v>
      </c>
      <c r="F57" s="31" t="s">
        <v>167</v>
      </c>
      <c r="G57" s="31" t="s">
        <v>168</v>
      </c>
      <c r="H57" s="31" t="s">
        <v>168</v>
      </c>
      <c r="I57" s="18" t="s">
        <v>27</v>
      </c>
      <c r="J57" s="37"/>
      <c r="K57" s="33"/>
      <c r="L57" s="34"/>
      <c r="M57" s="34"/>
      <c r="N57" s="34"/>
      <c r="O57" s="34"/>
      <c r="P57" s="34"/>
      <c r="Q57" s="34"/>
      <c r="R57" s="34"/>
      <c r="S57" s="34"/>
      <c r="T57" s="34"/>
      <c r="U57" s="34"/>
      <c r="V57" s="34"/>
      <c r="W57" s="34"/>
      <c r="X57" s="34"/>
      <c r="Y57" s="34"/>
      <c r="Z57" s="34"/>
      <c r="AA57" s="34"/>
    </row>
    <row r="58" outlineLevel="3">
      <c r="A58" s="30" t="str">
        <f t="shared" si="4"/>
        <v>Vantai_43</v>
      </c>
      <c r="B58" s="31" t="s">
        <v>169</v>
      </c>
      <c r="C58" s="31" t="s">
        <v>170</v>
      </c>
      <c r="D58" s="31" t="s">
        <v>171</v>
      </c>
      <c r="E58" s="31" t="s">
        <v>62</v>
      </c>
      <c r="F58" s="31" t="s">
        <v>167</v>
      </c>
      <c r="G58" s="31" t="s">
        <v>172</v>
      </c>
      <c r="H58" s="31" t="s">
        <v>173</v>
      </c>
      <c r="I58" s="18" t="s">
        <v>66</v>
      </c>
      <c r="J58" s="37"/>
      <c r="K58" s="33"/>
      <c r="L58" s="34"/>
      <c r="M58" s="34"/>
      <c r="N58" s="34"/>
      <c r="O58" s="34"/>
      <c r="P58" s="34"/>
      <c r="Q58" s="34"/>
      <c r="R58" s="34"/>
      <c r="S58" s="34"/>
      <c r="T58" s="34"/>
      <c r="U58" s="34"/>
      <c r="V58" s="34"/>
      <c r="W58" s="34"/>
      <c r="X58" s="34"/>
      <c r="Y58" s="34"/>
      <c r="Z58" s="34"/>
      <c r="AA58" s="34"/>
    </row>
    <row r="59" outlineLevel="3">
      <c r="A59" s="30" t="str">
        <f t="shared" si="4"/>
        <v>Vantai_44</v>
      </c>
      <c r="B59" s="31" t="s">
        <v>174</v>
      </c>
      <c r="C59" s="31" t="s">
        <v>175</v>
      </c>
      <c r="D59" s="31" t="s">
        <v>176</v>
      </c>
      <c r="E59" s="31" t="s">
        <v>62</v>
      </c>
      <c r="F59" s="31" t="s">
        <v>152</v>
      </c>
      <c r="G59" s="31" t="s">
        <v>177</v>
      </c>
      <c r="H59" s="31" t="s">
        <v>177</v>
      </c>
      <c r="I59" s="18" t="s">
        <v>27</v>
      </c>
      <c r="J59" s="37"/>
      <c r="K59" s="33"/>
      <c r="L59" s="34"/>
      <c r="M59" s="34"/>
      <c r="N59" s="34"/>
      <c r="O59" s="34"/>
      <c r="P59" s="34"/>
      <c r="Q59" s="34"/>
      <c r="R59" s="34"/>
      <c r="S59" s="34"/>
      <c r="T59" s="34"/>
      <c r="U59" s="34"/>
      <c r="V59" s="34"/>
      <c r="W59" s="34"/>
      <c r="X59" s="34"/>
      <c r="Y59" s="34"/>
      <c r="Z59" s="34"/>
      <c r="AA59" s="34"/>
    </row>
    <row r="60" outlineLevel="3">
      <c r="A60" s="30" t="str">
        <f t="shared" si="4"/>
        <v>Vantai_45</v>
      </c>
      <c r="B60" s="31" t="s">
        <v>178</v>
      </c>
      <c r="C60" s="31" t="s">
        <v>175</v>
      </c>
      <c r="D60" s="31" t="s">
        <v>179</v>
      </c>
      <c r="E60" s="31" t="s">
        <v>62</v>
      </c>
      <c r="F60" s="31" t="s">
        <v>152</v>
      </c>
      <c r="G60" s="31" t="s">
        <v>180</v>
      </c>
      <c r="H60" s="31" t="s">
        <v>180</v>
      </c>
      <c r="I60" s="18" t="s">
        <v>27</v>
      </c>
      <c r="J60" s="37"/>
      <c r="K60" s="33"/>
      <c r="L60" s="34"/>
      <c r="M60" s="34"/>
      <c r="N60" s="34"/>
      <c r="O60" s="34"/>
      <c r="P60" s="34"/>
      <c r="Q60" s="34"/>
      <c r="R60" s="34"/>
      <c r="S60" s="34"/>
      <c r="T60" s="34"/>
      <c r="U60" s="34"/>
      <c r="V60" s="34"/>
      <c r="W60" s="34"/>
      <c r="X60" s="34"/>
      <c r="Y60" s="34"/>
      <c r="Z60" s="34"/>
      <c r="AA60" s="34"/>
    </row>
    <row r="61" outlineLevel="3">
      <c r="A61" s="30" t="str">
        <f t="shared" si="4"/>
        <v>Vantai_46</v>
      </c>
      <c r="B61" s="31" t="s">
        <v>181</v>
      </c>
      <c r="C61" s="31" t="s">
        <v>182</v>
      </c>
      <c r="D61" s="31" t="s">
        <v>183</v>
      </c>
      <c r="E61" s="31" t="s">
        <v>62</v>
      </c>
      <c r="F61" s="31" t="s">
        <v>152</v>
      </c>
      <c r="G61" s="31" t="s">
        <v>184</v>
      </c>
      <c r="H61" s="31" t="s">
        <v>184</v>
      </c>
      <c r="I61" s="18" t="s">
        <v>27</v>
      </c>
      <c r="J61" s="37"/>
      <c r="K61" s="33"/>
      <c r="L61" s="34"/>
      <c r="M61" s="34"/>
      <c r="N61" s="34"/>
      <c r="O61" s="34"/>
      <c r="P61" s="34"/>
      <c r="Q61" s="34"/>
      <c r="R61" s="34"/>
      <c r="S61" s="34"/>
      <c r="T61" s="34"/>
      <c r="U61" s="34"/>
      <c r="V61" s="34"/>
      <c r="W61" s="34"/>
      <c r="X61" s="34"/>
      <c r="Y61" s="34"/>
      <c r="Z61" s="34"/>
      <c r="AA61" s="34"/>
    </row>
    <row r="62" outlineLevel="3">
      <c r="A62" s="30" t="str">
        <f t="shared" si="4"/>
        <v>Vantai_47</v>
      </c>
      <c r="B62" s="31" t="s">
        <v>185</v>
      </c>
      <c r="C62" s="31" t="s">
        <v>186</v>
      </c>
      <c r="D62" s="31" t="s">
        <v>187</v>
      </c>
      <c r="E62" s="31" t="s">
        <v>62</v>
      </c>
      <c r="F62" s="31" t="s">
        <v>152</v>
      </c>
      <c r="G62" s="31" t="s">
        <v>188</v>
      </c>
      <c r="H62" s="31" t="s">
        <v>188</v>
      </c>
      <c r="I62" s="18" t="s">
        <v>27</v>
      </c>
      <c r="J62" s="37"/>
      <c r="K62" s="33"/>
      <c r="L62" s="34"/>
      <c r="M62" s="34"/>
      <c r="N62" s="34"/>
      <c r="O62" s="34"/>
      <c r="P62" s="34"/>
      <c r="Q62" s="34"/>
      <c r="R62" s="34"/>
      <c r="S62" s="34"/>
      <c r="T62" s="34"/>
      <c r="U62" s="34"/>
      <c r="V62" s="34"/>
      <c r="W62" s="34"/>
      <c r="X62" s="34"/>
      <c r="Y62" s="34"/>
      <c r="Z62" s="34"/>
      <c r="AA62" s="34"/>
    </row>
    <row r="63" outlineLevel="3">
      <c r="A63" s="30" t="str">
        <f t="shared" si="4"/>
        <v>Vantai_48</v>
      </c>
      <c r="B63" s="31" t="s">
        <v>189</v>
      </c>
      <c r="C63" s="31" t="s">
        <v>190</v>
      </c>
      <c r="D63" s="31" t="s">
        <v>191</v>
      </c>
      <c r="E63" s="31" t="s">
        <v>62</v>
      </c>
      <c r="F63" s="31" t="s">
        <v>152</v>
      </c>
      <c r="G63" s="31" t="s">
        <v>192</v>
      </c>
      <c r="H63" s="31" t="s">
        <v>192</v>
      </c>
      <c r="I63" s="18" t="s">
        <v>27</v>
      </c>
      <c r="J63" s="37"/>
      <c r="K63" s="33"/>
      <c r="L63" s="34"/>
      <c r="M63" s="34"/>
      <c r="N63" s="34"/>
      <c r="O63" s="34"/>
      <c r="P63" s="34"/>
      <c r="Q63" s="34"/>
      <c r="R63" s="34"/>
      <c r="S63" s="34"/>
      <c r="T63" s="34"/>
      <c r="U63" s="34"/>
      <c r="V63" s="34"/>
      <c r="W63" s="34"/>
      <c r="X63" s="34"/>
      <c r="Y63" s="34"/>
      <c r="Z63" s="34"/>
      <c r="AA63" s="34"/>
    </row>
    <row r="64" outlineLevel="3">
      <c r="A64" s="30" t="str">
        <f t="shared" si="4"/>
        <v>Vantai_49</v>
      </c>
      <c r="B64" s="31" t="s">
        <v>193</v>
      </c>
      <c r="C64" s="31" t="s">
        <v>194</v>
      </c>
      <c r="D64" s="31" t="s">
        <v>195</v>
      </c>
      <c r="E64" s="31" t="s">
        <v>62</v>
      </c>
      <c r="F64" s="31" t="s">
        <v>152</v>
      </c>
      <c r="G64" s="31" t="s">
        <v>192</v>
      </c>
      <c r="H64" s="31" t="s">
        <v>192</v>
      </c>
      <c r="I64" s="18" t="s">
        <v>27</v>
      </c>
      <c r="J64" s="37"/>
      <c r="K64" s="33"/>
      <c r="L64" s="34"/>
      <c r="M64" s="34"/>
      <c r="N64" s="34"/>
      <c r="O64" s="34"/>
      <c r="P64" s="34"/>
      <c r="Q64" s="34"/>
      <c r="R64" s="34"/>
      <c r="S64" s="34"/>
      <c r="T64" s="34"/>
      <c r="U64" s="34"/>
      <c r="V64" s="34"/>
      <c r="W64" s="34"/>
      <c r="X64" s="34"/>
      <c r="Y64" s="34"/>
      <c r="Z64" s="34"/>
      <c r="AA64" s="34"/>
    </row>
    <row r="65" outlineLevel="3">
      <c r="A65" s="30" t="str">
        <f t="shared" si="4"/>
        <v>Vantai_50</v>
      </c>
      <c r="B65" s="31" t="s">
        <v>196</v>
      </c>
      <c r="C65" s="31" t="s">
        <v>197</v>
      </c>
      <c r="D65" s="31" t="s">
        <v>198</v>
      </c>
      <c r="E65" s="31" t="s">
        <v>24</v>
      </c>
      <c r="F65" s="31" t="s">
        <v>199</v>
      </c>
      <c r="G65" s="31" t="s">
        <v>200</v>
      </c>
      <c r="H65" s="31" t="s">
        <v>200</v>
      </c>
      <c r="I65" s="18" t="s">
        <v>27</v>
      </c>
      <c r="J65" s="37"/>
      <c r="K65" s="33"/>
      <c r="L65" s="34"/>
      <c r="M65" s="34"/>
      <c r="N65" s="34"/>
      <c r="O65" s="34"/>
      <c r="P65" s="34"/>
      <c r="Q65" s="34"/>
      <c r="R65" s="34"/>
      <c r="S65" s="34"/>
      <c r="T65" s="34"/>
      <c r="U65" s="34"/>
      <c r="V65" s="34"/>
      <c r="W65" s="34"/>
      <c r="X65" s="34"/>
      <c r="Y65" s="34"/>
      <c r="Z65" s="34"/>
      <c r="AA65" s="34"/>
    </row>
    <row r="66" outlineLevel="2">
      <c r="A66" s="16" t="str">
        <f t="shared" si="4"/>
        <v/>
      </c>
      <c r="B66" s="38" t="s">
        <v>201</v>
      </c>
      <c r="C66" s="15"/>
      <c r="D66" s="15"/>
      <c r="E66" s="15"/>
      <c r="F66" s="15"/>
      <c r="G66" s="15"/>
      <c r="H66" s="15"/>
      <c r="I66" s="15"/>
      <c r="J66" s="15"/>
      <c r="K66" s="3"/>
      <c r="L66" s="19"/>
      <c r="M66" s="19"/>
      <c r="N66" s="19"/>
      <c r="O66" s="19"/>
      <c r="P66" s="19"/>
      <c r="Q66" s="19"/>
      <c r="R66" s="19"/>
      <c r="S66" s="19"/>
      <c r="T66" s="19"/>
      <c r="U66" s="19"/>
      <c r="V66" s="19"/>
      <c r="W66" s="19"/>
      <c r="X66" s="19"/>
      <c r="Y66" s="19"/>
      <c r="Z66" s="19"/>
      <c r="AA66" s="19"/>
    </row>
    <row r="67" outlineLevel="3">
      <c r="A67" s="30" t="str">
        <f t="shared" si="4"/>
        <v>Vantai_51</v>
      </c>
      <c r="B67" s="31" t="s">
        <v>202</v>
      </c>
      <c r="C67" s="31" t="s">
        <v>203</v>
      </c>
      <c r="D67" s="31" t="s">
        <v>204</v>
      </c>
      <c r="E67" s="31" t="s">
        <v>62</v>
      </c>
      <c r="F67" s="31" t="s">
        <v>205</v>
      </c>
      <c r="G67" s="31" t="s">
        <v>206</v>
      </c>
      <c r="H67" s="31" t="s">
        <v>206</v>
      </c>
      <c r="I67" s="18" t="s">
        <v>27</v>
      </c>
      <c r="J67" s="32"/>
      <c r="K67" s="35"/>
      <c r="L67" s="32"/>
      <c r="M67" s="32"/>
      <c r="N67" s="32"/>
      <c r="O67" s="32"/>
      <c r="P67" s="32"/>
      <c r="Q67" s="32"/>
      <c r="R67" s="32"/>
      <c r="S67" s="32"/>
      <c r="T67" s="32"/>
      <c r="U67" s="32"/>
      <c r="V67" s="32"/>
      <c r="W67" s="32"/>
      <c r="X67" s="32"/>
      <c r="Y67" s="32"/>
      <c r="Z67" s="32"/>
      <c r="AA67" s="32"/>
    </row>
    <row r="68" outlineLevel="3">
      <c r="A68" s="30" t="str">
        <f t="shared" si="4"/>
        <v>Vantai_52</v>
      </c>
      <c r="B68" s="31" t="s">
        <v>207</v>
      </c>
      <c r="C68" s="31" t="s">
        <v>208</v>
      </c>
      <c r="D68" s="31" t="s">
        <v>209</v>
      </c>
      <c r="E68" s="31" t="s">
        <v>62</v>
      </c>
      <c r="F68" s="31" t="s">
        <v>210</v>
      </c>
      <c r="G68" s="31" t="s">
        <v>211</v>
      </c>
      <c r="H68" s="31" t="s">
        <v>211</v>
      </c>
      <c r="I68" s="18" t="s">
        <v>27</v>
      </c>
      <c r="J68" s="32"/>
      <c r="K68" s="35"/>
      <c r="L68" s="32"/>
      <c r="M68" s="32"/>
      <c r="N68" s="32"/>
      <c r="O68" s="32"/>
      <c r="P68" s="32"/>
      <c r="Q68" s="32"/>
      <c r="R68" s="32"/>
      <c r="S68" s="32"/>
      <c r="T68" s="32"/>
      <c r="U68" s="32"/>
      <c r="V68" s="32"/>
      <c r="W68" s="32"/>
      <c r="X68" s="32"/>
      <c r="Y68" s="32"/>
      <c r="Z68" s="32"/>
      <c r="AA68" s="32"/>
    </row>
    <row r="69" outlineLevel="3">
      <c r="A69" s="30" t="str">
        <f t="shared" si="4"/>
        <v>Vantai_53</v>
      </c>
      <c r="B69" s="31" t="s">
        <v>212</v>
      </c>
      <c r="C69" s="31" t="s">
        <v>213</v>
      </c>
      <c r="D69" s="31" t="s">
        <v>214</v>
      </c>
      <c r="E69" s="31" t="s">
        <v>62</v>
      </c>
      <c r="F69" s="31" t="s">
        <v>215</v>
      </c>
      <c r="G69" s="31" t="s">
        <v>216</v>
      </c>
      <c r="H69" s="31" t="s">
        <v>216</v>
      </c>
      <c r="I69" s="18" t="s">
        <v>27</v>
      </c>
      <c r="J69" s="32"/>
      <c r="K69" s="35"/>
      <c r="L69" s="32"/>
      <c r="M69" s="32"/>
      <c r="N69" s="32"/>
      <c r="O69" s="32"/>
      <c r="P69" s="32"/>
      <c r="Q69" s="32"/>
      <c r="R69" s="32"/>
      <c r="S69" s="32"/>
      <c r="T69" s="32"/>
      <c r="U69" s="32"/>
      <c r="V69" s="32"/>
      <c r="W69" s="32"/>
      <c r="X69" s="32"/>
      <c r="Y69" s="32"/>
      <c r="Z69" s="32"/>
      <c r="AA69" s="32"/>
    </row>
    <row r="70" outlineLevel="3">
      <c r="A70" s="30" t="str">
        <f t="shared" si="4"/>
        <v>Vantai_54</v>
      </c>
      <c r="B70" s="31" t="s">
        <v>217</v>
      </c>
      <c r="C70" s="31" t="s">
        <v>218</v>
      </c>
      <c r="D70" s="31" t="s">
        <v>219</v>
      </c>
      <c r="E70" s="31" t="s">
        <v>62</v>
      </c>
      <c r="F70" s="31" t="s">
        <v>220</v>
      </c>
      <c r="G70" s="31" t="s">
        <v>221</v>
      </c>
      <c r="H70" s="31" t="s">
        <v>221</v>
      </c>
      <c r="I70" s="18" t="s">
        <v>27</v>
      </c>
      <c r="J70" s="32"/>
      <c r="K70" s="35"/>
      <c r="L70" s="32"/>
      <c r="M70" s="32"/>
      <c r="N70" s="32"/>
      <c r="O70" s="32"/>
      <c r="P70" s="32"/>
      <c r="Q70" s="32"/>
      <c r="R70" s="32"/>
      <c r="S70" s="32"/>
      <c r="T70" s="32"/>
      <c r="U70" s="32"/>
      <c r="V70" s="32"/>
      <c r="W70" s="32"/>
      <c r="X70" s="32"/>
      <c r="Y70" s="32"/>
      <c r="Z70" s="32"/>
      <c r="AA70" s="32"/>
    </row>
    <row r="71" outlineLevel="3">
      <c r="A71" s="30" t="str">
        <f t="shared" si="4"/>
        <v>Vantai_55</v>
      </c>
      <c r="B71" s="31" t="s">
        <v>222</v>
      </c>
      <c r="C71" s="31" t="s">
        <v>223</v>
      </c>
      <c r="D71" s="31" t="s">
        <v>224</v>
      </c>
      <c r="E71" s="31" t="s">
        <v>62</v>
      </c>
      <c r="F71" s="31" t="s">
        <v>225</v>
      </c>
      <c r="G71" s="31" t="s">
        <v>226</v>
      </c>
      <c r="H71" s="31" t="s">
        <v>226</v>
      </c>
      <c r="I71" s="18" t="s">
        <v>27</v>
      </c>
      <c r="J71" s="32"/>
      <c r="K71" s="35"/>
      <c r="L71" s="32"/>
      <c r="M71" s="32"/>
      <c r="N71" s="32"/>
      <c r="O71" s="32"/>
      <c r="P71" s="32"/>
      <c r="Q71" s="32"/>
      <c r="R71" s="32"/>
      <c r="S71" s="32"/>
      <c r="T71" s="32"/>
      <c r="U71" s="32"/>
      <c r="V71" s="32"/>
      <c r="W71" s="32"/>
      <c r="X71" s="32"/>
      <c r="Y71" s="32"/>
      <c r="Z71" s="32"/>
      <c r="AA71" s="32"/>
    </row>
    <row r="72" outlineLevel="3">
      <c r="A72" s="30" t="str">
        <f t="shared" si="4"/>
        <v>Vantai_56</v>
      </c>
      <c r="B72" s="31" t="s">
        <v>227</v>
      </c>
      <c r="C72" s="31" t="s">
        <v>228</v>
      </c>
      <c r="D72" s="31" t="s">
        <v>229</v>
      </c>
      <c r="E72" s="31" t="s">
        <v>62</v>
      </c>
      <c r="F72" s="31" t="s">
        <v>225</v>
      </c>
      <c r="G72" s="31" t="s">
        <v>230</v>
      </c>
      <c r="H72" s="31" t="s">
        <v>230</v>
      </c>
      <c r="I72" s="18" t="s">
        <v>27</v>
      </c>
      <c r="J72" s="32"/>
      <c r="K72" s="35"/>
      <c r="L72" s="32"/>
      <c r="M72" s="32"/>
      <c r="N72" s="32"/>
      <c r="O72" s="32"/>
      <c r="P72" s="32"/>
      <c r="Q72" s="32"/>
      <c r="R72" s="32"/>
      <c r="S72" s="32"/>
      <c r="T72" s="32"/>
      <c r="U72" s="32"/>
      <c r="V72" s="32"/>
      <c r="W72" s="32"/>
      <c r="X72" s="32"/>
      <c r="Y72" s="32"/>
      <c r="Z72" s="32"/>
      <c r="AA72" s="32"/>
    </row>
    <row r="73" outlineLevel="3">
      <c r="A73" s="30" t="str">
        <f t="shared" si="4"/>
        <v>Vantai_57</v>
      </c>
      <c r="B73" s="31" t="s">
        <v>231</v>
      </c>
      <c r="C73" s="31" t="s">
        <v>228</v>
      </c>
      <c r="D73" s="31" t="s">
        <v>232</v>
      </c>
      <c r="E73" s="31" t="s">
        <v>62</v>
      </c>
      <c r="F73" s="31" t="s">
        <v>225</v>
      </c>
      <c r="G73" s="31" t="s">
        <v>233</v>
      </c>
      <c r="H73" s="31" t="s">
        <v>234</v>
      </c>
      <c r="I73" s="18" t="s">
        <v>66</v>
      </c>
      <c r="J73" s="32"/>
      <c r="K73" s="35"/>
      <c r="L73" s="32"/>
      <c r="M73" s="32"/>
      <c r="N73" s="32"/>
      <c r="O73" s="32"/>
      <c r="P73" s="32"/>
      <c r="Q73" s="32"/>
      <c r="R73" s="32"/>
      <c r="S73" s="32"/>
      <c r="T73" s="32"/>
      <c r="U73" s="32"/>
      <c r="V73" s="32"/>
      <c r="W73" s="32"/>
      <c r="X73" s="32"/>
      <c r="Y73" s="32"/>
      <c r="Z73" s="32"/>
      <c r="AA73" s="32"/>
    </row>
    <row r="74" outlineLevel="3">
      <c r="A74" s="30" t="str">
        <f t="shared" si="4"/>
        <v>Vantai_58</v>
      </c>
      <c r="B74" s="31" t="s">
        <v>235</v>
      </c>
      <c r="C74" s="31" t="s">
        <v>228</v>
      </c>
      <c r="D74" s="31" t="s">
        <v>236</v>
      </c>
      <c r="E74" s="31" t="s">
        <v>62</v>
      </c>
      <c r="F74" s="31" t="s">
        <v>225</v>
      </c>
      <c r="G74" s="31" t="s">
        <v>233</v>
      </c>
      <c r="H74" s="31" t="s">
        <v>233</v>
      </c>
      <c r="I74" s="18" t="s">
        <v>27</v>
      </c>
      <c r="J74" s="32"/>
      <c r="K74" s="35"/>
      <c r="L74" s="32"/>
      <c r="M74" s="32"/>
      <c r="N74" s="32"/>
      <c r="O74" s="32"/>
      <c r="P74" s="32"/>
      <c r="Q74" s="32"/>
      <c r="R74" s="32"/>
      <c r="S74" s="32"/>
      <c r="T74" s="32"/>
      <c r="U74" s="32"/>
      <c r="V74" s="32"/>
      <c r="W74" s="32"/>
      <c r="X74" s="32"/>
      <c r="Y74" s="32"/>
      <c r="Z74" s="32"/>
      <c r="AA74" s="32"/>
    </row>
    <row r="75" outlineLevel="3">
      <c r="A75" s="30" t="str">
        <f t="shared" si="4"/>
        <v>Vantai_59</v>
      </c>
      <c r="B75" s="31" t="s">
        <v>237</v>
      </c>
      <c r="C75" s="31" t="s">
        <v>238</v>
      </c>
      <c r="D75" s="31" t="s">
        <v>239</v>
      </c>
      <c r="E75" s="31" t="s">
        <v>62</v>
      </c>
      <c r="F75" s="31" t="s">
        <v>225</v>
      </c>
      <c r="G75" s="31" t="s">
        <v>240</v>
      </c>
      <c r="H75" s="31" t="s">
        <v>240</v>
      </c>
      <c r="I75" s="18" t="s">
        <v>27</v>
      </c>
      <c r="J75" s="32"/>
      <c r="K75" s="35"/>
      <c r="L75" s="32"/>
      <c r="M75" s="32"/>
      <c r="N75" s="32"/>
      <c r="O75" s="32"/>
      <c r="P75" s="32"/>
      <c r="Q75" s="32"/>
      <c r="R75" s="32"/>
      <c r="S75" s="32"/>
      <c r="T75" s="32"/>
      <c r="U75" s="32"/>
      <c r="V75" s="32"/>
      <c r="W75" s="32"/>
      <c r="X75" s="32"/>
      <c r="Y75" s="32"/>
      <c r="Z75" s="32"/>
      <c r="AA75" s="32"/>
    </row>
    <row r="76" outlineLevel="3">
      <c r="A76" s="30" t="str">
        <f t="shared" si="4"/>
        <v>Vantai_60</v>
      </c>
      <c r="B76" s="31" t="s">
        <v>241</v>
      </c>
      <c r="C76" s="31" t="s">
        <v>242</v>
      </c>
      <c r="D76" s="31" t="s">
        <v>243</v>
      </c>
      <c r="E76" s="31" t="s">
        <v>62</v>
      </c>
      <c r="F76" s="31" t="s">
        <v>225</v>
      </c>
      <c r="G76" s="31" t="s">
        <v>244</v>
      </c>
      <c r="H76" s="31" t="s">
        <v>244</v>
      </c>
      <c r="I76" s="18" t="s">
        <v>27</v>
      </c>
      <c r="J76" s="32"/>
      <c r="K76" s="35"/>
      <c r="L76" s="32"/>
      <c r="M76" s="32"/>
      <c r="N76" s="32"/>
      <c r="O76" s="32"/>
      <c r="P76" s="32"/>
      <c r="Q76" s="32"/>
      <c r="R76" s="32"/>
      <c r="S76" s="32"/>
      <c r="T76" s="32"/>
      <c r="U76" s="32"/>
      <c r="V76" s="32"/>
      <c r="W76" s="32"/>
      <c r="X76" s="32"/>
      <c r="Y76" s="32"/>
      <c r="Z76" s="32"/>
      <c r="AA76" s="32"/>
    </row>
    <row r="77" outlineLevel="3">
      <c r="A77" s="30" t="str">
        <f t="shared" si="4"/>
        <v>Vantai_61</v>
      </c>
      <c r="B77" s="31" t="s">
        <v>245</v>
      </c>
      <c r="C77" s="31" t="s">
        <v>246</v>
      </c>
      <c r="D77" s="31" t="s">
        <v>247</v>
      </c>
      <c r="E77" s="31" t="s">
        <v>24</v>
      </c>
      <c r="F77" s="31" t="s">
        <v>225</v>
      </c>
      <c r="G77" s="31" t="s">
        <v>248</v>
      </c>
      <c r="H77" s="31" t="s">
        <v>249</v>
      </c>
      <c r="I77" s="18" t="s">
        <v>66</v>
      </c>
      <c r="J77" s="32"/>
      <c r="K77" s="35"/>
      <c r="L77" s="32"/>
      <c r="M77" s="32"/>
      <c r="N77" s="32"/>
      <c r="O77" s="32"/>
      <c r="P77" s="32"/>
      <c r="Q77" s="32"/>
      <c r="R77" s="32"/>
      <c r="S77" s="32"/>
      <c r="T77" s="32"/>
      <c r="U77" s="32"/>
      <c r="V77" s="32"/>
      <c r="W77" s="32"/>
      <c r="X77" s="32"/>
      <c r="Y77" s="32"/>
      <c r="Z77" s="32"/>
      <c r="AA77" s="32"/>
    </row>
    <row r="78" outlineLevel="3">
      <c r="A78" s="30" t="str">
        <f t="shared" si="4"/>
        <v>Vantai_62</v>
      </c>
      <c r="B78" s="31" t="s">
        <v>250</v>
      </c>
      <c r="C78" s="31" t="s">
        <v>246</v>
      </c>
      <c r="D78" s="31" t="s">
        <v>251</v>
      </c>
      <c r="E78" s="31" t="s">
        <v>24</v>
      </c>
      <c r="F78" s="31" t="s">
        <v>225</v>
      </c>
      <c r="G78" s="31" t="s">
        <v>252</v>
      </c>
      <c r="H78" s="31" t="s">
        <v>249</v>
      </c>
      <c r="I78" s="18" t="s">
        <v>66</v>
      </c>
      <c r="J78" s="32"/>
      <c r="K78" s="35"/>
      <c r="L78" s="32"/>
      <c r="M78" s="32"/>
      <c r="N78" s="32"/>
      <c r="O78" s="32"/>
      <c r="P78" s="32"/>
      <c r="Q78" s="32"/>
      <c r="R78" s="32"/>
      <c r="S78" s="32"/>
      <c r="T78" s="32"/>
      <c r="U78" s="32"/>
      <c r="V78" s="32"/>
      <c r="W78" s="32"/>
      <c r="X78" s="32"/>
      <c r="Y78" s="32"/>
      <c r="Z78" s="32"/>
      <c r="AA78" s="32"/>
    </row>
    <row r="79" outlineLevel="3">
      <c r="A79" s="30" t="str">
        <f t="shared" si="4"/>
        <v>Vantai_63</v>
      </c>
      <c r="B79" s="31" t="s">
        <v>253</v>
      </c>
      <c r="C79" s="31" t="s">
        <v>246</v>
      </c>
      <c r="D79" s="31" t="s">
        <v>254</v>
      </c>
      <c r="E79" s="31" t="s">
        <v>24</v>
      </c>
      <c r="F79" s="31" t="s">
        <v>225</v>
      </c>
      <c r="G79" s="31" t="s">
        <v>255</v>
      </c>
      <c r="H79" s="31" t="s">
        <v>249</v>
      </c>
      <c r="I79" s="18" t="s">
        <v>66</v>
      </c>
      <c r="J79" s="32"/>
      <c r="K79" s="35"/>
      <c r="L79" s="32"/>
      <c r="M79" s="32"/>
      <c r="N79" s="32"/>
      <c r="O79" s="32"/>
      <c r="P79" s="32"/>
      <c r="Q79" s="32"/>
      <c r="R79" s="32"/>
      <c r="S79" s="32"/>
      <c r="T79" s="32"/>
      <c r="U79" s="32"/>
      <c r="V79" s="32"/>
      <c r="W79" s="32"/>
      <c r="X79" s="32"/>
      <c r="Y79" s="32"/>
      <c r="Z79" s="32"/>
      <c r="AA79" s="32"/>
    </row>
    <row r="80" outlineLevel="3">
      <c r="A80" s="30" t="str">
        <f t="shared" si="4"/>
        <v>Vantai_64</v>
      </c>
      <c r="B80" s="31" t="s">
        <v>256</v>
      </c>
      <c r="C80" s="31" t="s">
        <v>257</v>
      </c>
      <c r="D80" s="31" t="s">
        <v>258</v>
      </c>
      <c r="E80" s="31" t="s">
        <v>62</v>
      </c>
      <c r="F80" s="31" t="s">
        <v>220</v>
      </c>
      <c r="G80" s="31" t="s">
        <v>259</v>
      </c>
      <c r="H80" s="31" t="s">
        <v>259</v>
      </c>
      <c r="I80" s="18" t="s">
        <v>27</v>
      </c>
      <c r="J80" s="32"/>
      <c r="K80" s="35"/>
      <c r="L80" s="32"/>
      <c r="M80" s="32"/>
      <c r="N80" s="32"/>
      <c r="O80" s="32"/>
      <c r="P80" s="32"/>
      <c r="Q80" s="32"/>
      <c r="R80" s="32"/>
      <c r="S80" s="32"/>
      <c r="T80" s="32"/>
      <c r="U80" s="32"/>
      <c r="V80" s="32"/>
      <c r="W80" s="32"/>
      <c r="X80" s="32"/>
      <c r="Y80" s="32"/>
      <c r="Z80" s="32"/>
      <c r="AA80" s="32"/>
    </row>
    <row r="81" outlineLevel="3">
      <c r="A81" s="30" t="str">
        <f t="shared" si="4"/>
        <v>Vantai_65</v>
      </c>
      <c r="B81" s="31" t="s">
        <v>260</v>
      </c>
      <c r="C81" s="31" t="s">
        <v>257</v>
      </c>
      <c r="D81" s="31" t="s">
        <v>261</v>
      </c>
      <c r="E81" s="31" t="s">
        <v>62</v>
      </c>
      <c r="F81" s="31" t="s">
        <v>220</v>
      </c>
      <c r="G81" s="31" t="s">
        <v>233</v>
      </c>
      <c r="H81" s="31" t="s">
        <v>233</v>
      </c>
      <c r="I81" s="18" t="s">
        <v>27</v>
      </c>
      <c r="J81" s="32"/>
      <c r="K81" s="35"/>
      <c r="L81" s="32"/>
      <c r="M81" s="32"/>
      <c r="N81" s="32"/>
      <c r="O81" s="32"/>
      <c r="P81" s="32"/>
      <c r="Q81" s="32"/>
      <c r="R81" s="32"/>
      <c r="S81" s="32"/>
      <c r="T81" s="32"/>
      <c r="U81" s="32"/>
      <c r="V81" s="32"/>
      <c r="W81" s="32"/>
      <c r="X81" s="32"/>
      <c r="Y81" s="32"/>
      <c r="Z81" s="32"/>
      <c r="AA81" s="32"/>
    </row>
    <row r="82" outlineLevel="3">
      <c r="A82" s="30" t="str">
        <f t="shared" si="4"/>
        <v>Vantai_66</v>
      </c>
      <c r="B82" s="31" t="s">
        <v>262</v>
      </c>
      <c r="C82" s="31" t="s">
        <v>257</v>
      </c>
      <c r="D82" s="31" t="s">
        <v>263</v>
      </c>
      <c r="E82" s="31" t="s">
        <v>62</v>
      </c>
      <c r="F82" s="31" t="s">
        <v>220</v>
      </c>
      <c r="G82" s="31" t="s">
        <v>233</v>
      </c>
      <c r="H82" s="31" t="s">
        <v>233</v>
      </c>
      <c r="I82" s="18" t="s">
        <v>27</v>
      </c>
      <c r="J82" s="32"/>
      <c r="K82" s="35"/>
      <c r="L82" s="32"/>
      <c r="M82" s="32"/>
      <c r="N82" s="32"/>
      <c r="O82" s="32"/>
      <c r="P82" s="32"/>
      <c r="Q82" s="32"/>
      <c r="R82" s="32"/>
      <c r="S82" s="32"/>
      <c r="T82" s="32"/>
      <c r="U82" s="32"/>
      <c r="V82" s="32"/>
      <c r="W82" s="32"/>
      <c r="X82" s="32"/>
      <c r="Y82" s="32"/>
      <c r="Z82" s="32"/>
      <c r="AA82" s="32"/>
    </row>
    <row r="83" outlineLevel="3">
      <c r="A83" s="30" t="str">
        <f t="shared" si="4"/>
        <v>Vantai_67</v>
      </c>
      <c r="B83" s="31" t="s">
        <v>264</v>
      </c>
      <c r="C83" s="31" t="s">
        <v>265</v>
      </c>
      <c r="D83" s="31" t="s">
        <v>266</v>
      </c>
      <c r="E83" s="31" t="s">
        <v>62</v>
      </c>
      <c r="F83" s="31" t="s">
        <v>220</v>
      </c>
      <c r="G83" s="31" t="s">
        <v>267</v>
      </c>
      <c r="H83" s="31" t="s">
        <v>267</v>
      </c>
      <c r="I83" s="18" t="s">
        <v>27</v>
      </c>
      <c r="J83" s="32"/>
      <c r="K83" s="35"/>
      <c r="L83" s="32"/>
      <c r="M83" s="32"/>
      <c r="N83" s="32"/>
      <c r="O83" s="32"/>
      <c r="P83" s="32"/>
      <c r="Q83" s="32"/>
      <c r="R83" s="32"/>
      <c r="S83" s="32"/>
      <c r="T83" s="32"/>
      <c r="U83" s="32"/>
      <c r="V83" s="32"/>
      <c r="W83" s="32"/>
      <c r="X83" s="32"/>
      <c r="Y83" s="32"/>
      <c r="Z83" s="32"/>
      <c r="AA83" s="32"/>
    </row>
    <row r="84" outlineLevel="3">
      <c r="A84" s="30" t="str">
        <f t="shared" si="4"/>
        <v>Vantai_68</v>
      </c>
      <c r="B84" s="31" t="s">
        <v>268</v>
      </c>
      <c r="C84" s="31" t="s">
        <v>269</v>
      </c>
      <c r="D84" s="31" t="s">
        <v>270</v>
      </c>
      <c r="E84" s="31" t="s">
        <v>62</v>
      </c>
      <c r="F84" s="31" t="s">
        <v>220</v>
      </c>
      <c r="G84" s="31" t="s">
        <v>271</v>
      </c>
      <c r="H84" s="31" t="s">
        <v>271</v>
      </c>
      <c r="I84" s="18" t="s">
        <v>27</v>
      </c>
      <c r="J84" s="32"/>
      <c r="K84" s="35"/>
      <c r="L84" s="32"/>
      <c r="M84" s="32"/>
      <c r="N84" s="32"/>
      <c r="O84" s="32"/>
      <c r="P84" s="32"/>
      <c r="Q84" s="32"/>
      <c r="R84" s="32"/>
      <c r="S84" s="32"/>
      <c r="T84" s="32"/>
      <c r="U84" s="32"/>
      <c r="V84" s="32"/>
      <c r="W84" s="32"/>
      <c r="X84" s="32"/>
      <c r="Y84" s="32"/>
      <c r="Z84" s="32"/>
      <c r="AA84" s="32"/>
    </row>
    <row r="85" outlineLevel="3">
      <c r="A85" s="30" t="str">
        <f t="shared" si="4"/>
        <v>Vantai_69</v>
      </c>
      <c r="B85" s="31" t="s">
        <v>272</v>
      </c>
      <c r="C85" s="31" t="s">
        <v>273</v>
      </c>
      <c r="D85" s="31" t="s">
        <v>274</v>
      </c>
      <c r="E85" s="31" t="s">
        <v>62</v>
      </c>
      <c r="F85" s="31" t="s">
        <v>275</v>
      </c>
      <c r="G85" s="31" t="s">
        <v>276</v>
      </c>
      <c r="H85" s="31" t="s">
        <v>276</v>
      </c>
      <c r="I85" s="18" t="s">
        <v>27</v>
      </c>
      <c r="J85" s="32"/>
      <c r="K85" s="35"/>
      <c r="L85" s="32"/>
      <c r="M85" s="32"/>
      <c r="N85" s="32"/>
      <c r="O85" s="32"/>
      <c r="P85" s="32"/>
      <c r="Q85" s="32"/>
      <c r="R85" s="32"/>
      <c r="S85" s="32"/>
      <c r="T85" s="32"/>
      <c r="U85" s="32"/>
      <c r="V85" s="32"/>
      <c r="W85" s="32"/>
      <c r="X85" s="32"/>
      <c r="Y85" s="32"/>
      <c r="Z85" s="32"/>
      <c r="AA85" s="32"/>
    </row>
    <row r="86" outlineLevel="3">
      <c r="A86" s="30" t="str">
        <f t="shared" si="4"/>
        <v>Vantai_70</v>
      </c>
      <c r="B86" s="31" t="s">
        <v>277</v>
      </c>
      <c r="C86" s="31"/>
      <c r="D86" s="31" t="s">
        <v>278</v>
      </c>
      <c r="E86" s="31" t="s">
        <v>24</v>
      </c>
      <c r="F86" s="31"/>
      <c r="G86" s="31" t="s">
        <v>279</v>
      </c>
      <c r="H86" s="31" t="s">
        <v>279</v>
      </c>
      <c r="I86" s="18" t="s">
        <v>27</v>
      </c>
      <c r="J86" s="32"/>
      <c r="K86" s="35"/>
      <c r="L86" s="32"/>
      <c r="M86" s="32"/>
      <c r="N86" s="32"/>
      <c r="O86" s="32"/>
      <c r="P86" s="32"/>
      <c r="Q86" s="32"/>
      <c r="R86" s="32"/>
      <c r="S86" s="32"/>
      <c r="T86" s="32"/>
      <c r="U86" s="32"/>
      <c r="V86" s="32"/>
      <c r="W86" s="32"/>
      <c r="X86" s="32"/>
      <c r="Y86" s="32"/>
      <c r="Z86" s="32"/>
      <c r="AA86" s="32"/>
    </row>
    <row r="87" outlineLevel="1">
      <c r="A87" s="13"/>
      <c r="B87" s="29" t="s">
        <v>280</v>
      </c>
      <c r="C87" s="15"/>
      <c r="D87" s="15"/>
      <c r="E87" s="15"/>
      <c r="F87" s="15"/>
      <c r="G87" s="15"/>
      <c r="H87" s="15"/>
      <c r="I87" s="15"/>
      <c r="J87" s="15"/>
      <c r="K87" s="3"/>
      <c r="L87" s="11"/>
      <c r="M87" s="11"/>
      <c r="N87" s="11"/>
      <c r="O87" s="11"/>
      <c r="P87" s="11"/>
      <c r="Q87" s="11"/>
      <c r="R87" s="11"/>
      <c r="S87" s="11"/>
      <c r="T87" s="11"/>
      <c r="U87" s="11"/>
      <c r="V87" s="11"/>
      <c r="W87" s="11"/>
      <c r="X87" s="11"/>
      <c r="Y87" s="11"/>
      <c r="Z87" s="11"/>
      <c r="AA87" s="11"/>
    </row>
    <row r="88" outlineLevel="2">
      <c r="A88" s="30" t="str">
        <f t="shared" ref="A88:A114" si="5">IF(G88="", "", $D$2 &amp; "_" &amp; COUNTA($G$12:G88))
</f>
        <v>Vantai_71</v>
      </c>
      <c r="B88" s="31" t="s">
        <v>281</v>
      </c>
      <c r="C88" s="31" t="s">
        <v>282</v>
      </c>
      <c r="D88" s="31" t="s">
        <v>283</v>
      </c>
      <c r="E88" s="31" t="s">
        <v>62</v>
      </c>
      <c r="F88" s="31" t="s">
        <v>34</v>
      </c>
      <c r="G88" s="31" t="s">
        <v>284</v>
      </c>
      <c r="H88" s="31" t="s">
        <v>284</v>
      </c>
      <c r="I88" s="18" t="s">
        <v>27</v>
      </c>
      <c r="J88" s="32"/>
      <c r="K88" s="32"/>
      <c r="L88" s="33"/>
      <c r="M88" s="34"/>
      <c r="N88" s="34"/>
      <c r="O88" s="34"/>
      <c r="P88" s="34"/>
      <c r="Q88" s="34"/>
      <c r="R88" s="34"/>
      <c r="S88" s="34"/>
      <c r="T88" s="34"/>
      <c r="U88" s="34"/>
      <c r="V88" s="34"/>
      <c r="W88" s="34"/>
      <c r="X88" s="34"/>
      <c r="Y88" s="34"/>
      <c r="Z88" s="34"/>
      <c r="AA88" s="34"/>
    </row>
    <row r="89" outlineLevel="2">
      <c r="A89" s="30" t="str">
        <f t="shared" si="5"/>
        <v>Vantai_72</v>
      </c>
      <c r="B89" s="31" t="s">
        <v>285</v>
      </c>
      <c r="C89" s="31" t="s">
        <v>286</v>
      </c>
      <c r="D89" s="31" t="s">
        <v>287</v>
      </c>
      <c r="E89" s="31" t="s">
        <v>24</v>
      </c>
      <c r="F89" s="31" t="s">
        <v>34</v>
      </c>
      <c r="G89" s="31" t="s">
        <v>288</v>
      </c>
      <c r="H89" s="31" t="s">
        <v>288</v>
      </c>
      <c r="I89" s="18" t="s">
        <v>27</v>
      </c>
      <c r="J89" s="32"/>
      <c r="K89" s="32"/>
      <c r="L89" s="39"/>
      <c r="M89" s="34"/>
      <c r="N89" s="34"/>
      <c r="O89" s="34"/>
      <c r="P89" s="34"/>
      <c r="Q89" s="34"/>
      <c r="R89" s="34"/>
      <c r="S89" s="34"/>
      <c r="T89" s="34"/>
      <c r="U89" s="34"/>
      <c r="V89" s="34"/>
      <c r="W89" s="34"/>
      <c r="X89" s="34"/>
      <c r="Y89" s="34"/>
      <c r="Z89" s="34"/>
      <c r="AA89" s="34"/>
    </row>
    <row r="90" outlineLevel="2">
      <c r="A90" s="30" t="str">
        <f t="shared" si="5"/>
        <v>Vantai_73</v>
      </c>
      <c r="B90" s="31" t="s">
        <v>289</v>
      </c>
      <c r="C90" s="31" t="s">
        <v>290</v>
      </c>
      <c r="D90" s="31" t="s">
        <v>291</v>
      </c>
      <c r="E90" s="31" t="s">
        <v>24</v>
      </c>
      <c r="F90" s="31" t="s">
        <v>34</v>
      </c>
      <c r="G90" s="31" t="s">
        <v>292</v>
      </c>
      <c r="H90" s="31" t="s">
        <v>292</v>
      </c>
      <c r="I90" s="18" t="s">
        <v>27</v>
      </c>
      <c r="J90" s="32"/>
      <c r="K90" s="32"/>
      <c r="L90" s="39"/>
      <c r="M90" s="34"/>
      <c r="N90" s="34"/>
      <c r="O90" s="34"/>
      <c r="P90" s="34"/>
      <c r="Q90" s="34"/>
      <c r="R90" s="34"/>
      <c r="S90" s="34"/>
      <c r="T90" s="34"/>
      <c r="U90" s="34"/>
      <c r="V90" s="34"/>
      <c r="W90" s="34"/>
      <c r="X90" s="34"/>
      <c r="Y90" s="34"/>
      <c r="Z90" s="34"/>
      <c r="AA90" s="34"/>
    </row>
    <row r="91" outlineLevel="2">
      <c r="A91" s="30" t="str">
        <f t="shared" si="5"/>
        <v>Vantai_74</v>
      </c>
      <c r="B91" s="31" t="s">
        <v>293</v>
      </c>
      <c r="C91" s="31" t="s">
        <v>294</v>
      </c>
      <c r="D91" s="31" t="s">
        <v>295</v>
      </c>
      <c r="E91" s="31" t="s">
        <v>62</v>
      </c>
      <c r="F91" s="31" t="s">
        <v>34</v>
      </c>
      <c r="G91" s="31" t="s">
        <v>296</v>
      </c>
      <c r="H91" s="31" t="s">
        <v>296</v>
      </c>
      <c r="I91" s="18" t="s">
        <v>27</v>
      </c>
      <c r="J91" s="32"/>
      <c r="K91" s="32"/>
      <c r="L91" s="39"/>
      <c r="M91" s="34"/>
      <c r="N91" s="34"/>
      <c r="O91" s="34"/>
      <c r="P91" s="34"/>
      <c r="Q91" s="34"/>
      <c r="R91" s="34"/>
      <c r="S91" s="34"/>
      <c r="T91" s="34"/>
      <c r="U91" s="34"/>
      <c r="V91" s="34"/>
      <c r="W91" s="34"/>
      <c r="X91" s="34"/>
      <c r="Y91" s="34"/>
      <c r="Z91" s="34"/>
      <c r="AA91" s="34"/>
    </row>
    <row r="92" outlineLevel="2">
      <c r="A92" s="30" t="str">
        <f t="shared" si="5"/>
        <v>Vantai_75</v>
      </c>
      <c r="B92" s="31" t="s">
        <v>297</v>
      </c>
      <c r="C92" s="31" t="s">
        <v>298</v>
      </c>
      <c r="D92" s="31" t="s">
        <v>299</v>
      </c>
      <c r="E92" s="31" t="s">
        <v>62</v>
      </c>
      <c r="F92" s="31" t="s">
        <v>34</v>
      </c>
      <c r="G92" s="31" t="s">
        <v>300</v>
      </c>
      <c r="H92" s="31" t="s">
        <v>300</v>
      </c>
      <c r="I92" s="18" t="s">
        <v>27</v>
      </c>
      <c r="J92" s="32"/>
      <c r="K92" s="32"/>
      <c r="L92" s="39"/>
      <c r="M92" s="34"/>
      <c r="N92" s="34"/>
      <c r="O92" s="34"/>
      <c r="P92" s="34"/>
      <c r="Q92" s="34"/>
      <c r="R92" s="34"/>
      <c r="S92" s="34"/>
      <c r="T92" s="34"/>
      <c r="U92" s="34"/>
      <c r="V92" s="34"/>
      <c r="W92" s="34"/>
      <c r="X92" s="34"/>
      <c r="Y92" s="34"/>
      <c r="Z92" s="34"/>
      <c r="AA92" s="34"/>
    </row>
    <row r="93" outlineLevel="2">
      <c r="A93" s="30" t="str">
        <f t="shared" si="5"/>
        <v>Vantai_76</v>
      </c>
      <c r="B93" s="31" t="s">
        <v>301</v>
      </c>
      <c r="C93" s="31" t="s">
        <v>302</v>
      </c>
      <c r="D93" s="31" t="s">
        <v>303</v>
      </c>
      <c r="E93" s="31" t="s">
        <v>24</v>
      </c>
      <c r="F93" s="31" t="s">
        <v>34</v>
      </c>
      <c r="G93" s="31" t="s">
        <v>304</v>
      </c>
      <c r="H93" s="31" t="s">
        <v>304</v>
      </c>
      <c r="I93" s="18" t="s">
        <v>27</v>
      </c>
      <c r="J93" s="32"/>
      <c r="K93" s="32"/>
      <c r="L93" s="39"/>
      <c r="M93" s="34"/>
      <c r="N93" s="34"/>
      <c r="O93" s="34"/>
      <c r="P93" s="34"/>
      <c r="Q93" s="34"/>
      <c r="R93" s="34"/>
      <c r="S93" s="34"/>
      <c r="T93" s="34"/>
      <c r="U93" s="34"/>
      <c r="V93" s="34"/>
      <c r="W93" s="34"/>
      <c r="X93" s="34"/>
      <c r="Y93" s="34"/>
      <c r="Z93" s="34"/>
      <c r="AA93" s="34"/>
    </row>
    <row r="94" outlineLevel="2">
      <c r="A94" s="30" t="str">
        <f t="shared" si="5"/>
        <v>Vantai_77</v>
      </c>
      <c r="B94" s="31" t="s">
        <v>305</v>
      </c>
      <c r="C94" s="31" t="s">
        <v>306</v>
      </c>
      <c r="D94" s="31" t="s">
        <v>307</v>
      </c>
      <c r="E94" s="31" t="s">
        <v>62</v>
      </c>
      <c r="F94" s="31" t="s">
        <v>34</v>
      </c>
      <c r="G94" s="31" t="s">
        <v>308</v>
      </c>
      <c r="H94" s="31" t="s">
        <v>308</v>
      </c>
      <c r="I94" s="18" t="s">
        <v>27</v>
      </c>
      <c r="J94" s="32"/>
      <c r="K94" s="32"/>
      <c r="L94" s="39"/>
      <c r="M94" s="34"/>
      <c r="N94" s="34"/>
      <c r="O94" s="34"/>
      <c r="P94" s="34"/>
      <c r="Q94" s="34"/>
      <c r="R94" s="34"/>
      <c r="S94" s="34"/>
      <c r="T94" s="34"/>
      <c r="U94" s="34"/>
      <c r="V94" s="34"/>
      <c r="W94" s="34"/>
      <c r="X94" s="34"/>
      <c r="Y94" s="34"/>
      <c r="Z94" s="34"/>
      <c r="AA94" s="34"/>
    </row>
    <row r="95" outlineLevel="2">
      <c r="A95" s="30" t="str">
        <f t="shared" si="5"/>
        <v>Vantai_78</v>
      </c>
      <c r="B95" s="31" t="s">
        <v>309</v>
      </c>
      <c r="C95" s="31" t="s">
        <v>310</v>
      </c>
      <c r="D95" s="31" t="s">
        <v>311</v>
      </c>
      <c r="E95" s="31" t="s">
        <v>62</v>
      </c>
      <c r="F95" s="31" t="s">
        <v>34</v>
      </c>
      <c r="G95" s="31" t="s">
        <v>312</v>
      </c>
      <c r="H95" s="31" t="s">
        <v>312</v>
      </c>
      <c r="I95" s="18" t="s">
        <v>27</v>
      </c>
      <c r="J95" s="32"/>
      <c r="K95" s="32"/>
      <c r="L95" s="39"/>
      <c r="M95" s="34"/>
      <c r="N95" s="34"/>
      <c r="O95" s="34"/>
      <c r="P95" s="34"/>
      <c r="Q95" s="34"/>
      <c r="R95" s="34"/>
      <c r="S95" s="34"/>
      <c r="T95" s="34"/>
      <c r="U95" s="34"/>
      <c r="V95" s="34"/>
      <c r="W95" s="34"/>
      <c r="X95" s="34"/>
      <c r="Y95" s="34"/>
      <c r="Z95" s="34"/>
      <c r="AA95" s="34"/>
    </row>
    <row r="96" outlineLevel="2">
      <c r="A96" s="30" t="str">
        <f t="shared" si="5"/>
        <v>Vantai_79</v>
      </c>
      <c r="B96" s="31" t="s">
        <v>313</v>
      </c>
      <c r="C96" s="31" t="s">
        <v>314</v>
      </c>
      <c r="D96" s="31" t="s">
        <v>315</v>
      </c>
      <c r="E96" s="31" t="s">
        <v>62</v>
      </c>
      <c r="F96" s="31" t="s">
        <v>34</v>
      </c>
      <c r="G96" s="31" t="s">
        <v>316</v>
      </c>
      <c r="H96" s="31" t="s">
        <v>316</v>
      </c>
      <c r="I96" s="18" t="s">
        <v>27</v>
      </c>
      <c r="J96" s="32"/>
      <c r="K96" s="32"/>
      <c r="L96" s="39"/>
      <c r="M96" s="34"/>
      <c r="N96" s="34"/>
      <c r="O96" s="34"/>
      <c r="P96" s="34"/>
      <c r="Q96" s="34"/>
      <c r="R96" s="34"/>
      <c r="S96" s="34"/>
      <c r="T96" s="34"/>
      <c r="U96" s="34"/>
      <c r="V96" s="34"/>
      <c r="W96" s="34"/>
      <c r="X96" s="34"/>
      <c r="Y96" s="34"/>
      <c r="Z96" s="34"/>
      <c r="AA96" s="34"/>
    </row>
    <row r="97" outlineLevel="2">
      <c r="A97" s="30" t="str">
        <f t="shared" si="5"/>
        <v>Vantai_80</v>
      </c>
      <c r="B97" s="31" t="s">
        <v>317</v>
      </c>
      <c r="C97" s="31" t="s">
        <v>318</v>
      </c>
      <c r="D97" s="31" t="s">
        <v>319</v>
      </c>
      <c r="E97" s="31" t="s">
        <v>62</v>
      </c>
      <c r="F97" s="31" t="s">
        <v>34</v>
      </c>
      <c r="G97" s="31" t="s">
        <v>320</v>
      </c>
      <c r="H97" s="31" t="s">
        <v>320</v>
      </c>
      <c r="I97" s="18" t="s">
        <v>27</v>
      </c>
      <c r="J97" s="32"/>
      <c r="K97" s="32"/>
      <c r="L97" s="39"/>
      <c r="M97" s="34"/>
      <c r="N97" s="34"/>
      <c r="O97" s="34"/>
      <c r="P97" s="34"/>
      <c r="Q97" s="34"/>
      <c r="R97" s="34"/>
      <c r="S97" s="34"/>
      <c r="T97" s="34"/>
      <c r="U97" s="34"/>
      <c r="V97" s="34"/>
      <c r="W97" s="34"/>
      <c r="X97" s="34"/>
      <c r="Y97" s="34"/>
      <c r="Z97" s="34"/>
      <c r="AA97" s="34"/>
    </row>
    <row r="98" outlineLevel="2">
      <c r="A98" s="30" t="str">
        <f t="shared" si="5"/>
        <v>Vantai_81</v>
      </c>
      <c r="B98" s="31" t="s">
        <v>321</v>
      </c>
      <c r="C98" s="31" t="s">
        <v>318</v>
      </c>
      <c r="D98" s="31" t="s">
        <v>322</v>
      </c>
      <c r="E98" s="31" t="s">
        <v>323</v>
      </c>
      <c r="F98" s="31" t="s">
        <v>34</v>
      </c>
      <c r="G98" s="31" t="s">
        <v>324</v>
      </c>
      <c r="H98" s="31" t="s">
        <v>324</v>
      </c>
      <c r="I98" s="18" t="s">
        <v>27</v>
      </c>
      <c r="J98" s="32"/>
      <c r="K98" s="32"/>
      <c r="L98" s="39"/>
      <c r="M98" s="34"/>
      <c r="N98" s="34"/>
      <c r="O98" s="34"/>
      <c r="P98" s="34"/>
      <c r="Q98" s="34"/>
      <c r="R98" s="34"/>
      <c r="S98" s="34"/>
      <c r="T98" s="34"/>
      <c r="U98" s="34"/>
      <c r="V98" s="34"/>
      <c r="W98" s="34"/>
      <c r="X98" s="34"/>
      <c r="Y98" s="34"/>
      <c r="Z98" s="34"/>
      <c r="AA98" s="34"/>
    </row>
    <row r="99" outlineLevel="2">
      <c r="A99" s="16" t="str">
        <f t="shared" si="5"/>
        <v/>
      </c>
      <c r="B99" s="38" t="s">
        <v>325</v>
      </c>
      <c r="C99" s="15"/>
      <c r="D99" s="15"/>
      <c r="E99" s="15"/>
      <c r="F99" s="15"/>
      <c r="G99" s="15"/>
      <c r="H99" s="15"/>
      <c r="I99" s="15"/>
      <c r="J99" s="15"/>
      <c r="K99" s="3"/>
      <c r="L99" s="21"/>
      <c r="M99" s="11"/>
      <c r="N99" s="11"/>
      <c r="O99" s="11"/>
      <c r="P99" s="11"/>
      <c r="Q99" s="11"/>
      <c r="R99" s="11"/>
      <c r="S99" s="11"/>
      <c r="T99" s="11"/>
      <c r="U99" s="11"/>
      <c r="V99" s="11"/>
      <c r="W99" s="11"/>
      <c r="X99" s="11"/>
      <c r="Y99" s="11"/>
      <c r="Z99" s="11"/>
      <c r="AA99" s="11"/>
    </row>
    <row r="100" outlineLevel="3">
      <c r="A100" s="30" t="str">
        <f t="shared" si="5"/>
        <v>Vantai_82</v>
      </c>
      <c r="B100" s="31" t="s">
        <v>326</v>
      </c>
      <c r="C100" s="31" t="s">
        <v>327</v>
      </c>
      <c r="D100" s="31" t="s">
        <v>328</v>
      </c>
      <c r="E100" s="31" t="s">
        <v>62</v>
      </c>
      <c r="F100" s="31" t="s">
        <v>329</v>
      </c>
      <c r="G100" s="31" t="s">
        <v>330</v>
      </c>
      <c r="H100" s="31" t="s">
        <v>330</v>
      </c>
      <c r="I100" s="18" t="s">
        <v>27</v>
      </c>
      <c r="J100" s="32"/>
      <c r="K100" s="32"/>
      <c r="L100" s="39"/>
      <c r="M100" s="34"/>
      <c r="N100" s="34"/>
      <c r="O100" s="34"/>
      <c r="P100" s="34"/>
      <c r="Q100" s="34"/>
      <c r="R100" s="34"/>
      <c r="S100" s="34"/>
      <c r="T100" s="34"/>
      <c r="U100" s="34"/>
      <c r="V100" s="34"/>
      <c r="W100" s="34"/>
      <c r="X100" s="34"/>
      <c r="Y100" s="34"/>
      <c r="Z100" s="34"/>
      <c r="AA100" s="34"/>
    </row>
    <row r="101" outlineLevel="3">
      <c r="A101" s="30" t="str">
        <f t="shared" si="5"/>
        <v>Vantai_83</v>
      </c>
      <c r="B101" s="31" t="s">
        <v>331</v>
      </c>
      <c r="C101" s="31" t="s">
        <v>332</v>
      </c>
      <c r="D101" s="31" t="s">
        <v>333</v>
      </c>
      <c r="E101" s="31" t="s">
        <v>62</v>
      </c>
      <c r="F101" s="31" t="s">
        <v>329</v>
      </c>
      <c r="G101" s="31" t="s">
        <v>334</v>
      </c>
      <c r="H101" s="31" t="s">
        <v>334</v>
      </c>
      <c r="I101" s="18" t="s">
        <v>27</v>
      </c>
      <c r="J101" s="32"/>
      <c r="K101" s="32"/>
      <c r="L101" s="39"/>
      <c r="M101" s="34"/>
      <c r="N101" s="34"/>
      <c r="O101" s="34"/>
      <c r="P101" s="34"/>
      <c r="Q101" s="34"/>
      <c r="R101" s="34"/>
      <c r="S101" s="34"/>
      <c r="T101" s="34"/>
      <c r="U101" s="34"/>
      <c r="V101" s="34"/>
      <c r="W101" s="34"/>
      <c r="X101" s="34"/>
      <c r="Y101" s="34"/>
      <c r="Z101" s="34"/>
      <c r="AA101" s="34"/>
    </row>
    <row r="102" outlineLevel="3">
      <c r="A102" s="30" t="str">
        <f t="shared" si="5"/>
        <v>Vantai_84</v>
      </c>
      <c r="B102" s="31" t="s">
        <v>164</v>
      </c>
      <c r="C102" s="31" t="s">
        <v>335</v>
      </c>
      <c r="D102" s="31" t="s">
        <v>336</v>
      </c>
      <c r="E102" s="31" t="s">
        <v>62</v>
      </c>
      <c r="F102" s="31" t="s">
        <v>329</v>
      </c>
      <c r="G102" s="31" t="s">
        <v>337</v>
      </c>
      <c r="H102" s="31" t="s">
        <v>337</v>
      </c>
      <c r="I102" s="18" t="s">
        <v>27</v>
      </c>
      <c r="J102" s="32"/>
      <c r="K102" s="32"/>
      <c r="L102" s="39"/>
      <c r="M102" s="34"/>
      <c r="N102" s="34"/>
      <c r="O102" s="34"/>
      <c r="P102" s="34"/>
      <c r="Q102" s="34"/>
      <c r="R102" s="34"/>
      <c r="S102" s="34"/>
      <c r="T102" s="34"/>
      <c r="U102" s="34"/>
      <c r="V102" s="34"/>
      <c r="W102" s="34"/>
      <c r="X102" s="34"/>
      <c r="Y102" s="34"/>
      <c r="Z102" s="34"/>
      <c r="AA102" s="34"/>
    </row>
    <row r="103" outlineLevel="3">
      <c r="A103" s="30" t="str">
        <f t="shared" si="5"/>
        <v>Vantai_85</v>
      </c>
      <c r="B103" s="31" t="s">
        <v>338</v>
      </c>
      <c r="C103" s="31" t="s">
        <v>335</v>
      </c>
      <c r="D103" s="31" t="s">
        <v>339</v>
      </c>
      <c r="E103" s="31" t="s">
        <v>62</v>
      </c>
      <c r="F103" s="31" t="s">
        <v>329</v>
      </c>
      <c r="G103" s="31" t="s">
        <v>340</v>
      </c>
      <c r="H103" s="31" t="s">
        <v>334</v>
      </c>
      <c r="I103" s="18" t="s">
        <v>66</v>
      </c>
      <c r="J103" s="32"/>
      <c r="K103" s="32"/>
      <c r="L103" s="39"/>
      <c r="M103" s="34"/>
      <c r="N103" s="34"/>
      <c r="O103" s="34"/>
      <c r="P103" s="34"/>
      <c r="Q103" s="34"/>
      <c r="R103" s="34"/>
      <c r="S103" s="34"/>
      <c r="T103" s="34"/>
      <c r="U103" s="34"/>
      <c r="V103" s="34"/>
      <c r="W103" s="34"/>
      <c r="X103" s="34"/>
      <c r="Y103" s="34"/>
      <c r="Z103" s="34"/>
      <c r="AA103" s="34"/>
    </row>
    <row r="104" outlineLevel="3">
      <c r="A104" s="30" t="str">
        <f t="shared" si="5"/>
        <v>Vantai_86</v>
      </c>
      <c r="B104" s="31" t="s">
        <v>341</v>
      </c>
      <c r="C104" s="31" t="s">
        <v>342</v>
      </c>
      <c r="D104" s="31" t="s">
        <v>343</v>
      </c>
      <c r="E104" s="31" t="s">
        <v>62</v>
      </c>
      <c r="F104" s="31" t="s">
        <v>329</v>
      </c>
      <c r="G104" s="31" t="s">
        <v>344</v>
      </c>
      <c r="H104" s="31" t="s">
        <v>334</v>
      </c>
      <c r="I104" s="18" t="s">
        <v>66</v>
      </c>
      <c r="J104" s="32"/>
      <c r="K104" s="32"/>
      <c r="L104" s="39"/>
      <c r="M104" s="34"/>
      <c r="N104" s="34"/>
      <c r="O104" s="34"/>
      <c r="P104" s="34"/>
      <c r="Q104" s="34"/>
      <c r="R104" s="34"/>
      <c r="S104" s="34"/>
      <c r="T104" s="34"/>
      <c r="U104" s="34"/>
      <c r="V104" s="34"/>
      <c r="W104" s="34"/>
      <c r="X104" s="34"/>
      <c r="Y104" s="34"/>
      <c r="Z104" s="34"/>
      <c r="AA104" s="34"/>
    </row>
    <row r="105" outlineLevel="3">
      <c r="A105" s="30" t="str">
        <f t="shared" si="5"/>
        <v>Vantai_87</v>
      </c>
      <c r="B105" s="31" t="s">
        <v>345</v>
      </c>
      <c r="C105" s="31" t="s">
        <v>335</v>
      </c>
      <c r="D105" s="31" t="s">
        <v>346</v>
      </c>
      <c r="E105" s="31" t="s">
        <v>24</v>
      </c>
      <c r="F105" s="31" t="s">
        <v>329</v>
      </c>
      <c r="G105" s="31" t="s">
        <v>347</v>
      </c>
      <c r="H105" s="31" t="s">
        <v>334</v>
      </c>
      <c r="I105" s="18" t="s">
        <v>66</v>
      </c>
      <c r="J105" s="32"/>
      <c r="K105" s="32"/>
      <c r="L105" s="39"/>
      <c r="M105" s="34"/>
      <c r="N105" s="34"/>
      <c r="O105" s="34"/>
      <c r="P105" s="34"/>
      <c r="Q105" s="34"/>
      <c r="R105" s="34"/>
      <c r="S105" s="34"/>
      <c r="T105" s="34"/>
      <c r="U105" s="34"/>
      <c r="V105" s="34"/>
      <c r="W105" s="34"/>
      <c r="X105" s="34"/>
      <c r="Y105" s="34"/>
      <c r="Z105" s="34"/>
      <c r="AA105" s="34"/>
    </row>
    <row r="106" outlineLevel="3">
      <c r="A106" s="30" t="str">
        <f t="shared" si="5"/>
        <v>Vantai_88</v>
      </c>
      <c r="B106" s="31" t="s">
        <v>348</v>
      </c>
      <c r="C106" s="31" t="s">
        <v>335</v>
      </c>
      <c r="D106" s="31" t="s">
        <v>349</v>
      </c>
      <c r="E106" s="31" t="s">
        <v>323</v>
      </c>
      <c r="F106" s="31" t="s">
        <v>329</v>
      </c>
      <c r="G106" s="31" t="s">
        <v>350</v>
      </c>
      <c r="H106" s="31" t="s">
        <v>350</v>
      </c>
      <c r="I106" s="18" t="s">
        <v>27</v>
      </c>
      <c r="J106" s="32"/>
      <c r="K106" s="32"/>
      <c r="L106" s="39"/>
      <c r="M106" s="34"/>
      <c r="N106" s="34"/>
      <c r="O106" s="34"/>
      <c r="P106" s="34"/>
      <c r="Q106" s="34"/>
      <c r="R106" s="34"/>
      <c r="S106" s="34"/>
      <c r="T106" s="34"/>
      <c r="U106" s="34"/>
      <c r="V106" s="34"/>
      <c r="W106" s="34"/>
      <c r="X106" s="34"/>
      <c r="Y106" s="34"/>
      <c r="Z106" s="34"/>
      <c r="AA106" s="34"/>
    </row>
    <row r="107" outlineLevel="3">
      <c r="A107" s="30" t="str">
        <f t="shared" si="5"/>
        <v>Vantai_89</v>
      </c>
      <c r="B107" s="31" t="s">
        <v>351</v>
      </c>
      <c r="C107" s="31" t="s">
        <v>352</v>
      </c>
      <c r="D107" s="31" t="s">
        <v>353</v>
      </c>
      <c r="E107" s="31" t="s">
        <v>24</v>
      </c>
      <c r="F107" s="31" t="s">
        <v>329</v>
      </c>
      <c r="G107" s="31" t="s">
        <v>354</v>
      </c>
      <c r="H107" s="31" t="s">
        <v>354</v>
      </c>
      <c r="I107" s="18" t="s">
        <v>27</v>
      </c>
      <c r="J107" s="32"/>
      <c r="K107" s="32"/>
      <c r="L107" s="39"/>
      <c r="M107" s="34"/>
      <c r="N107" s="34"/>
      <c r="O107" s="34"/>
      <c r="P107" s="34"/>
      <c r="Q107" s="34"/>
      <c r="R107" s="34"/>
      <c r="S107" s="34"/>
      <c r="T107" s="34"/>
      <c r="U107" s="34"/>
      <c r="V107" s="34"/>
      <c r="W107" s="34"/>
      <c r="X107" s="34"/>
      <c r="Y107" s="34"/>
      <c r="Z107" s="34"/>
      <c r="AA107" s="34"/>
    </row>
    <row r="108" outlineLevel="3">
      <c r="A108" s="30" t="str">
        <f t="shared" si="5"/>
        <v>Vantai_90</v>
      </c>
      <c r="B108" s="31" t="s">
        <v>355</v>
      </c>
      <c r="C108" s="31" t="s">
        <v>318</v>
      </c>
      <c r="D108" s="31" t="s">
        <v>356</v>
      </c>
      <c r="E108" s="31" t="s">
        <v>62</v>
      </c>
      <c r="F108" s="31" t="s">
        <v>357</v>
      </c>
      <c r="G108" s="31" t="s">
        <v>358</v>
      </c>
      <c r="H108" s="31" t="s">
        <v>358</v>
      </c>
      <c r="I108" s="18" t="s">
        <v>27</v>
      </c>
      <c r="J108" s="32"/>
      <c r="K108" s="32"/>
      <c r="L108" s="39"/>
      <c r="M108" s="34"/>
      <c r="N108" s="34"/>
      <c r="O108" s="34"/>
      <c r="P108" s="34"/>
      <c r="Q108" s="34"/>
      <c r="R108" s="34"/>
      <c r="S108" s="34"/>
      <c r="T108" s="34"/>
      <c r="U108" s="34"/>
      <c r="V108" s="34"/>
      <c r="W108" s="34"/>
      <c r="X108" s="34"/>
      <c r="Y108" s="34"/>
      <c r="Z108" s="34"/>
      <c r="AA108" s="34"/>
    </row>
    <row r="109" outlineLevel="3">
      <c r="A109" s="30" t="str">
        <f t="shared" si="5"/>
        <v>Vantai_91</v>
      </c>
      <c r="B109" s="31" t="s">
        <v>359</v>
      </c>
      <c r="C109" s="31" t="s">
        <v>318</v>
      </c>
      <c r="D109" s="31" t="s">
        <v>360</v>
      </c>
      <c r="E109" s="31" t="s">
        <v>62</v>
      </c>
      <c r="F109" s="31" t="s">
        <v>357</v>
      </c>
      <c r="G109" s="31" t="s">
        <v>361</v>
      </c>
      <c r="H109" s="31" t="s">
        <v>361</v>
      </c>
      <c r="I109" s="18" t="s">
        <v>27</v>
      </c>
      <c r="J109" s="32"/>
      <c r="K109" s="32"/>
      <c r="L109" s="39"/>
      <c r="M109" s="34"/>
      <c r="N109" s="34"/>
      <c r="O109" s="34"/>
      <c r="P109" s="34"/>
      <c r="Q109" s="34"/>
      <c r="R109" s="34"/>
      <c r="S109" s="34"/>
      <c r="T109" s="34"/>
      <c r="U109" s="34"/>
      <c r="V109" s="34"/>
      <c r="W109" s="34"/>
      <c r="X109" s="34"/>
      <c r="Y109" s="34"/>
      <c r="Z109" s="34"/>
      <c r="AA109" s="34"/>
    </row>
    <row r="110" outlineLevel="3">
      <c r="A110" s="30" t="str">
        <f t="shared" si="5"/>
        <v>Vantai_92</v>
      </c>
      <c r="B110" s="31" t="s">
        <v>362</v>
      </c>
      <c r="C110" s="31" t="s">
        <v>318</v>
      </c>
      <c r="D110" s="31" t="s">
        <v>363</v>
      </c>
      <c r="E110" s="31" t="s">
        <v>24</v>
      </c>
      <c r="F110" s="31" t="s">
        <v>357</v>
      </c>
      <c r="G110" s="31" t="s">
        <v>361</v>
      </c>
      <c r="H110" s="31" t="s">
        <v>361</v>
      </c>
      <c r="I110" s="18" t="s">
        <v>27</v>
      </c>
      <c r="J110" s="32"/>
      <c r="K110" s="32"/>
      <c r="L110" s="39"/>
      <c r="M110" s="34"/>
      <c r="N110" s="34"/>
      <c r="O110" s="34"/>
      <c r="P110" s="34"/>
      <c r="Q110" s="34"/>
      <c r="R110" s="34"/>
      <c r="S110" s="34"/>
      <c r="T110" s="34"/>
      <c r="U110" s="34"/>
      <c r="V110" s="34"/>
      <c r="W110" s="34"/>
      <c r="X110" s="34"/>
      <c r="Y110" s="34"/>
      <c r="Z110" s="34"/>
      <c r="AA110" s="34"/>
    </row>
    <row r="111" outlineLevel="3">
      <c r="A111" s="30" t="str">
        <f t="shared" si="5"/>
        <v>Vantai_93</v>
      </c>
      <c r="B111" s="31" t="s">
        <v>364</v>
      </c>
      <c r="C111" s="31" t="s">
        <v>318</v>
      </c>
      <c r="D111" s="31" t="s">
        <v>365</v>
      </c>
      <c r="E111" s="31" t="s">
        <v>62</v>
      </c>
      <c r="F111" s="31" t="s">
        <v>357</v>
      </c>
      <c r="G111" s="31" t="s">
        <v>337</v>
      </c>
      <c r="H111" s="31" t="s">
        <v>337</v>
      </c>
      <c r="I111" s="18" t="s">
        <v>27</v>
      </c>
      <c r="J111" s="32"/>
      <c r="K111" s="32"/>
      <c r="L111" s="39"/>
      <c r="M111" s="34"/>
      <c r="N111" s="34"/>
      <c r="O111" s="34"/>
      <c r="P111" s="34"/>
      <c r="Q111" s="34"/>
      <c r="R111" s="34"/>
      <c r="S111" s="34"/>
      <c r="T111" s="34"/>
      <c r="U111" s="34"/>
      <c r="V111" s="34"/>
      <c r="W111" s="34"/>
      <c r="X111" s="34"/>
      <c r="Y111" s="34"/>
      <c r="Z111" s="34"/>
      <c r="AA111" s="34"/>
    </row>
    <row r="112" outlineLevel="3">
      <c r="A112" s="30" t="str">
        <f t="shared" si="5"/>
        <v>Vantai_94</v>
      </c>
      <c r="B112" s="31" t="s">
        <v>345</v>
      </c>
      <c r="C112" s="31" t="s">
        <v>318</v>
      </c>
      <c r="D112" s="31" t="s">
        <v>366</v>
      </c>
      <c r="E112" s="31" t="s">
        <v>24</v>
      </c>
      <c r="F112" s="31" t="s">
        <v>357</v>
      </c>
      <c r="G112" s="31" t="s">
        <v>367</v>
      </c>
      <c r="H112" s="31" t="s">
        <v>367</v>
      </c>
      <c r="I112" s="18" t="s">
        <v>27</v>
      </c>
      <c r="J112" s="32"/>
      <c r="K112" s="32"/>
      <c r="L112" s="39"/>
      <c r="M112" s="34"/>
      <c r="N112" s="34"/>
      <c r="O112" s="34"/>
      <c r="P112" s="34"/>
      <c r="Q112" s="34"/>
      <c r="R112" s="34"/>
      <c r="S112" s="34"/>
      <c r="T112" s="34"/>
      <c r="U112" s="34"/>
      <c r="V112" s="34"/>
      <c r="W112" s="34"/>
      <c r="X112" s="34"/>
      <c r="Y112" s="34"/>
      <c r="Z112" s="34"/>
      <c r="AA112" s="34"/>
    </row>
    <row r="113" outlineLevel="3">
      <c r="A113" s="30" t="str">
        <f t="shared" si="5"/>
        <v>Vantai_95</v>
      </c>
      <c r="B113" s="31" t="s">
        <v>368</v>
      </c>
      <c r="C113" s="31" t="s">
        <v>318</v>
      </c>
      <c r="D113" s="31" t="s">
        <v>369</v>
      </c>
      <c r="E113" s="31" t="s">
        <v>62</v>
      </c>
      <c r="F113" s="31" t="s">
        <v>370</v>
      </c>
      <c r="G113" s="31" t="s">
        <v>371</v>
      </c>
      <c r="H113" s="31" t="s">
        <v>371</v>
      </c>
      <c r="I113" s="18" t="s">
        <v>27</v>
      </c>
      <c r="J113" s="32"/>
      <c r="K113" s="32"/>
      <c r="L113" s="39"/>
      <c r="M113" s="34"/>
      <c r="N113" s="34"/>
      <c r="O113" s="34"/>
      <c r="P113" s="34"/>
      <c r="Q113" s="34"/>
      <c r="R113" s="34"/>
      <c r="S113" s="34"/>
      <c r="T113" s="34"/>
      <c r="U113" s="34"/>
      <c r="V113" s="34"/>
      <c r="W113" s="34"/>
      <c r="X113" s="34"/>
      <c r="Y113" s="34"/>
      <c r="Z113" s="34"/>
      <c r="AA113" s="34"/>
    </row>
    <row r="114" outlineLevel="3">
      <c r="A114" s="30" t="str">
        <f t="shared" si="5"/>
        <v>Vantai_96</v>
      </c>
      <c r="B114" s="31" t="s">
        <v>372</v>
      </c>
      <c r="C114" s="31" t="s">
        <v>318</v>
      </c>
      <c r="D114" s="31" t="s">
        <v>373</v>
      </c>
      <c r="E114" s="31" t="s">
        <v>62</v>
      </c>
      <c r="F114" s="31" t="s">
        <v>370</v>
      </c>
      <c r="G114" s="31" t="s">
        <v>374</v>
      </c>
      <c r="H114" s="31" t="s">
        <v>374</v>
      </c>
      <c r="I114" s="18" t="s">
        <v>27</v>
      </c>
      <c r="J114" s="32"/>
      <c r="K114" s="32"/>
      <c r="L114" s="39"/>
      <c r="M114" s="34"/>
      <c r="N114" s="34"/>
      <c r="O114" s="34"/>
      <c r="P114" s="34"/>
      <c r="Q114" s="34"/>
      <c r="R114" s="34"/>
      <c r="S114" s="34"/>
      <c r="T114" s="34"/>
      <c r="U114" s="34"/>
      <c r="V114" s="34"/>
      <c r="W114" s="34"/>
      <c r="X114" s="34"/>
      <c r="Y114" s="34"/>
      <c r="Z114" s="34"/>
      <c r="AA114" s="34"/>
    </row>
    <row r="115">
      <c r="A115" s="11"/>
      <c r="B115" s="11"/>
      <c r="C115" s="11"/>
      <c r="D115" s="11"/>
      <c r="E115" s="10"/>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0"/>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0"/>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0"/>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0"/>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0"/>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0"/>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0"/>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0"/>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0"/>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0"/>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0"/>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0"/>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0"/>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0"/>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0"/>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0"/>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0"/>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0"/>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0"/>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0"/>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0"/>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0"/>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0"/>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0"/>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0"/>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0"/>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0"/>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0"/>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0"/>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0"/>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0"/>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0"/>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0"/>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0"/>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0"/>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0"/>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0"/>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0"/>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0"/>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0"/>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0"/>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0"/>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0"/>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0"/>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0"/>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0"/>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0"/>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0"/>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0"/>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0"/>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0"/>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0"/>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0"/>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0"/>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0"/>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0"/>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0"/>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0"/>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0"/>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0"/>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0"/>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0"/>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0"/>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0"/>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0"/>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0"/>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0"/>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0"/>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0"/>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0"/>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0"/>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0"/>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0"/>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0"/>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0"/>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0"/>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0"/>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0"/>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0"/>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0"/>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0"/>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0"/>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0"/>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0"/>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0"/>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0"/>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0"/>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0"/>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0"/>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0"/>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0"/>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0"/>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0"/>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0"/>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0"/>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0"/>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0"/>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0"/>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0"/>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0"/>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0"/>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0"/>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0"/>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0"/>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0"/>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0"/>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0"/>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0"/>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0"/>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0"/>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0"/>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0"/>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0"/>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0"/>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0"/>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0"/>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0"/>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0"/>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0"/>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0"/>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0"/>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0"/>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0"/>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0"/>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0"/>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0"/>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0"/>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0"/>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0"/>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0"/>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0"/>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0"/>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0"/>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0"/>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0"/>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0"/>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0"/>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0"/>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0"/>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0"/>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0"/>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0"/>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0"/>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0"/>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0"/>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0"/>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0"/>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0"/>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0"/>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0"/>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0"/>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0"/>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0"/>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0"/>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0"/>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0"/>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0"/>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0"/>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0"/>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0"/>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0"/>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0"/>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0"/>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0"/>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0"/>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0"/>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0"/>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0"/>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0"/>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0"/>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0"/>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0"/>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0"/>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0"/>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0"/>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0"/>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0"/>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0"/>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0"/>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0"/>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0"/>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0"/>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0"/>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0"/>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0"/>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0"/>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0"/>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0"/>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0"/>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0"/>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0"/>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0"/>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0"/>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0"/>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0"/>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0"/>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0"/>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0"/>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0"/>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0"/>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0"/>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0"/>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0"/>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0"/>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0"/>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0"/>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0"/>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0"/>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0"/>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0"/>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0"/>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0"/>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0"/>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0"/>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0"/>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0"/>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0"/>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0"/>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0"/>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0"/>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0"/>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0"/>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0"/>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0"/>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0"/>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0"/>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0"/>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0"/>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0"/>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0"/>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0"/>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0"/>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0"/>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0"/>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0"/>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0"/>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0"/>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0"/>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0"/>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0"/>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0"/>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0"/>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0"/>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0"/>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0"/>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0"/>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0"/>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0"/>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0"/>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0"/>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0"/>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0"/>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0"/>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0"/>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0"/>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0"/>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0"/>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0"/>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0"/>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0"/>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0"/>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0"/>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0"/>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0"/>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0"/>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0"/>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0"/>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0"/>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0"/>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0"/>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0"/>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0"/>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0"/>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0"/>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0"/>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0"/>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0"/>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0"/>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0"/>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0"/>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0"/>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0"/>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0"/>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0"/>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0"/>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0"/>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0"/>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0"/>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0"/>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0"/>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0"/>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0"/>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0"/>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0"/>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0"/>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0"/>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0"/>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0"/>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0"/>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0"/>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0"/>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0"/>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0"/>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0"/>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0"/>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0"/>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0"/>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0"/>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0"/>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0"/>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0"/>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0"/>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0"/>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0"/>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0"/>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0"/>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0"/>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0"/>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0"/>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0"/>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0"/>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0"/>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0"/>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0"/>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0"/>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0"/>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0"/>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0"/>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0"/>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0"/>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0"/>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0"/>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0"/>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0"/>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0"/>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0"/>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0"/>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0"/>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0"/>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0"/>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0"/>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0"/>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0"/>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0"/>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0"/>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0"/>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0"/>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0"/>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0"/>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0"/>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0"/>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0"/>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0"/>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0"/>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0"/>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0"/>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0"/>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0"/>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0"/>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0"/>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0"/>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0"/>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0"/>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0"/>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0"/>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0"/>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0"/>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0"/>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0"/>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0"/>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0"/>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0"/>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0"/>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0"/>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0"/>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0"/>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0"/>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0"/>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0"/>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0"/>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0"/>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0"/>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0"/>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0"/>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0"/>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0"/>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0"/>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0"/>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0"/>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0"/>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0"/>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0"/>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0"/>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0"/>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0"/>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0"/>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0"/>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0"/>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0"/>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0"/>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0"/>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0"/>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0"/>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0"/>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0"/>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0"/>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0"/>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0"/>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0"/>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0"/>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0"/>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0"/>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0"/>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0"/>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0"/>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0"/>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0"/>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0"/>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0"/>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0"/>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0"/>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0"/>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0"/>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0"/>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0"/>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0"/>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0"/>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0"/>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0"/>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0"/>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0"/>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0"/>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0"/>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0"/>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0"/>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0"/>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0"/>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0"/>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0"/>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0"/>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0"/>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0"/>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0"/>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0"/>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0"/>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0"/>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0"/>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0"/>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0"/>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0"/>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0"/>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0"/>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0"/>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0"/>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0"/>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0"/>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0"/>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0"/>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0"/>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0"/>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0"/>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0"/>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0"/>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0"/>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0"/>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0"/>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0"/>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0"/>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0"/>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0"/>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0"/>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0"/>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0"/>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0"/>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0"/>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0"/>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0"/>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0"/>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0"/>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0"/>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0"/>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0"/>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0"/>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0"/>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0"/>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0"/>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0"/>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0"/>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0"/>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0"/>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0"/>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0"/>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0"/>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0"/>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0"/>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0"/>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0"/>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0"/>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0"/>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0"/>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0"/>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0"/>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0"/>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0"/>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0"/>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0"/>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0"/>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0"/>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0"/>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0"/>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0"/>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0"/>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0"/>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0"/>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0"/>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0"/>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0"/>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0"/>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0"/>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0"/>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0"/>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0"/>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0"/>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0"/>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0"/>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0"/>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0"/>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0"/>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0"/>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0"/>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0"/>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0"/>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0"/>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0"/>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0"/>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0"/>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0"/>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0"/>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0"/>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0"/>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0"/>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0"/>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0"/>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0"/>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0"/>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0"/>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0"/>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0"/>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0"/>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0"/>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0"/>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0"/>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0"/>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0"/>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0"/>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0"/>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0"/>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0"/>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0"/>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0"/>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0"/>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0"/>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0"/>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0"/>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0"/>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0"/>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0"/>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0"/>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0"/>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0"/>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0"/>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0"/>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0"/>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0"/>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0"/>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0"/>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0"/>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0"/>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0"/>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0"/>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0"/>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0"/>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0"/>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0"/>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0"/>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0"/>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0"/>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0"/>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0"/>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0"/>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0"/>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0"/>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0"/>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0"/>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0"/>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0"/>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0"/>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0"/>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0"/>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0"/>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0"/>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0"/>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0"/>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0"/>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0"/>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0"/>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0"/>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0"/>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0"/>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0"/>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0"/>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0"/>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0"/>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0"/>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0"/>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0"/>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0"/>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0"/>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0"/>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0"/>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0"/>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0"/>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0"/>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0"/>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0"/>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0"/>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0"/>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0"/>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0"/>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0"/>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0"/>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0"/>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0"/>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0"/>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0"/>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0"/>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0"/>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0"/>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0"/>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0"/>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0"/>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0"/>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0"/>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0"/>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0"/>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0"/>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0"/>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0"/>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0"/>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0"/>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0"/>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0"/>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0"/>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0"/>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0"/>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0"/>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0"/>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0"/>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0"/>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0"/>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0"/>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0"/>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0"/>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0"/>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0"/>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0"/>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0"/>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0"/>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0"/>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0"/>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0"/>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0"/>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0"/>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0"/>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0"/>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0"/>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0"/>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0"/>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0"/>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0"/>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0"/>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0"/>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0"/>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0"/>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0"/>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0"/>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0"/>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0"/>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0"/>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0"/>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0"/>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0"/>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0"/>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0"/>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0"/>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0"/>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0"/>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0"/>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0"/>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0"/>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0"/>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0"/>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0"/>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0"/>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0"/>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0"/>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0"/>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0"/>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0"/>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0"/>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0"/>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0"/>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0"/>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0"/>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0"/>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0"/>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0"/>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0"/>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0"/>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0"/>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0"/>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0"/>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0"/>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0"/>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0"/>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0"/>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0"/>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0"/>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0"/>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0"/>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0"/>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0"/>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0"/>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0"/>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0"/>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0"/>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0"/>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0"/>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0"/>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0"/>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0"/>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0"/>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0"/>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0"/>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0"/>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0"/>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0"/>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0"/>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0"/>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0"/>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0"/>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0"/>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0"/>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0"/>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0"/>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0"/>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0"/>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0"/>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0"/>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0"/>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0"/>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0"/>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0"/>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0"/>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0"/>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0"/>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0"/>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0"/>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0"/>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0"/>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0"/>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0"/>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0"/>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0"/>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0"/>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0"/>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0"/>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0"/>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0"/>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0"/>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0"/>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0"/>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0"/>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0"/>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0"/>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0"/>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0"/>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0"/>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0"/>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0"/>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0"/>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0"/>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0"/>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0"/>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0"/>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0"/>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0"/>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0"/>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0"/>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0"/>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0"/>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0"/>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0"/>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0"/>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0"/>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0"/>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0"/>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0"/>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0"/>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0"/>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0"/>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0"/>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0"/>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0"/>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0"/>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0"/>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0"/>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0"/>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0"/>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0"/>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0"/>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0"/>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0"/>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0"/>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0"/>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0"/>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0"/>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0"/>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0"/>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0"/>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0"/>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0"/>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0"/>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0"/>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0"/>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0"/>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0"/>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0"/>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0"/>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0"/>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0"/>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0"/>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0"/>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0"/>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0"/>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0"/>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0"/>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0"/>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0"/>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0"/>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0"/>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0"/>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0"/>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0"/>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0"/>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0"/>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0"/>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0"/>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0"/>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0"/>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0"/>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0"/>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0"/>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0"/>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0"/>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0"/>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0"/>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0"/>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0"/>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0"/>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0"/>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0"/>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0"/>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0"/>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0"/>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0"/>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0"/>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0"/>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0"/>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0"/>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0"/>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0"/>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0"/>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0"/>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0"/>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10"/>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1"/>
      <c r="E1002" s="10"/>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1"/>
      <c r="E1003" s="10"/>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1"/>
      <c r="E1004" s="10"/>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1"/>
      <c r="E1005" s="10"/>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1"/>
      <c r="E1006" s="10"/>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1"/>
      <c r="E1007" s="10"/>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1"/>
      <c r="E1008" s="10"/>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11"/>
      <c r="D1009" s="11"/>
      <c r="E1009" s="10"/>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11"/>
      <c r="D1010" s="11"/>
      <c r="E1010" s="10"/>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11"/>
      <c r="D1011" s="11"/>
      <c r="E1011" s="10"/>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11"/>
      <c r="D1012" s="11"/>
      <c r="E1012" s="10"/>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11"/>
      <c r="D1013" s="11"/>
      <c r="E1013" s="10"/>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11"/>
      <c r="D1014" s="11"/>
      <c r="E1014" s="10"/>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11"/>
      <c r="D1015" s="11"/>
      <c r="E1015" s="10"/>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11"/>
      <c r="D1016" s="11"/>
      <c r="E1016" s="10"/>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11"/>
      <c r="D1017" s="11"/>
      <c r="E1017" s="10"/>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11"/>
      <c r="D1018" s="11"/>
      <c r="E1018" s="10"/>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11"/>
      <c r="D1019" s="11"/>
      <c r="E1019" s="10"/>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11"/>
      <c r="D1020" s="11"/>
      <c r="E1020" s="10"/>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11"/>
      <c r="D1021" s="11"/>
      <c r="E1021" s="10"/>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11"/>
      <c r="D1022" s="11"/>
      <c r="E1022" s="10"/>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11"/>
      <c r="D1023" s="11"/>
      <c r="E1023" s="10"/>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11"/>
      <c r="D1024" s="11"/>
      <c r="E1024" s="10"/>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11"/>
      <c r="D1025" s="11"/>
      <c r="E1025" s="10"/>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11"/>
      <c r="D1026" s="11"/>
      <c r="E1026" s="10"/>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11"/>
      <c r="D1027" s="11"/>
      <c r="E1027" s="10"/>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11"/>
      <c r="D1028" s="11"/>
      <c r="E1028" s="10"/>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11"/>
      <c r="D1029" s="11"/>
      <c r="E1029" s="10"/>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11"/>
      <c r="D1030" s="11"/>
      <c r="E1030" s="10"/>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11"/>
      <c r="D1031" s="11"/>
      <c r="E1031" s="10"/>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11"/>
      <c r="D1032" s="11"/>
      <c r="E1032" s="10"/>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11"/>
      <c r="D1033" s="11"/>
      <c r="E1033" s="10"/>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row>
    <row r="1034">
      <c r="A1034" s="11"/>
      <c r="B1034" s="11"/>
      <c r="C1034" s="11"/>
      <c r="D1034" s="11"/>
      <c r="E1034" s="10"/>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row>
    <row r="1035">
      <c r="A1035" s="11"/>
      <c r="B1035" s="11"/>
      <c r="C1035" s="11"/>
      <c r="D1035" s="11"/>
      <c r="E1035" s="10"/>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row>
    <row r="1036">
      <c r="A1036" s="11"/>
      <c r="B1036" s="11"/>
      <c r="C1036" s="11"/>
      <c r="D1036" s="11"/>
      <c r="E1036" s="10"/>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row>
    <row r="1037">
      <c r="A1037" s="11"/>
      <c r="B1037" s="11"/>
      <c r="C1037" s="11"/>
      <c r="D1037" s="11"/>
      <c r="E1037" s="10"/>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row>
    <row r="1038">
      <c r="A1038" s="11"/>
      <c r="B1038" s="11"/>
      <c r="C1038" s="11"/>
      <c r="D1038" s="11"/>
      <c r="E1038" s="10"/>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row>
    <row r="1039">
      <c r="A1039" s="11"/>
      <c r="B1039" s="11"/>
      <c r="C1039" s="11"/>
      <c r="D1039" s="11"/>
      <c r="E1039" s="10"/>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row>
    <row r="1040">
      <c r="A1040" s="11"/>
      <c r="B1040" s="11"/>
      <c r="C1040" s="11"/>
      <c r="D1040" s="11"/>
      <c r="E1040" s="10"/>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row>
    <row r="1041">
      <c r="A1041" s="11"/>
      <c r="B1041" s="11"/>
      <c r="C1041" s="11"/>
      <c r="D1041" s="11"/>
      <c r="E1041" s="10"/>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row>
    <row r="1042">
      <c r="A1042" s="11"/>
      <c r="B1042" s="11"/>
      <c r="C1042" s="11"/>
      <c r="D1042" s="11"/>
      <c r="E1042" s="10"/>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row>
    <row r="1043">
      <c r="A1043" s="11"/>
      <c r="B1043" s="11"/>
      <c r="C1043" s="11"/>
      <c r="D1043" s="11"/>
      <c r="E1043" s="10"/>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row>
    <row r="1044">
      <c r="A1044" s="11"/>
      <c r="B1044" s="11"/>
      <c r="C1044" s="11"/>
      <c r="D1044" s="11"/>
      <c r="E1044" s="10"/>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row>
    <row r="1045">
      <c r="A1045" s="11"/>
      <c r="B1045" s="11"/>
      <c r="C1045" s="11"/>
      <c r="D1045" s="11"/>
      <c r="E1045" s="10"/>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row>
    <row r="1046">
      <c r="A1046" s="11"/>
      <c r="B1046" s="11"/>
      <c r="C1046" s="11"/>
      <c r="D1046" s="11"/>
      <c r="E1046" s="10"/>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row>
    <row r="1047">
      <c r="A1047" s="11"/>
      <c r="B1047" s="11"/>
      <c r="C1047" s="11"/>
      <c r="D1047" s="11"/>
      <c r="E1047" s="10"/>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row>
    <row r="1048">
      <c r="A1048" s="11"/>
      <c r="B1048" s="11"/>
      <c r="C1048" s="11"/>
      <c r="D1048" s="11"/>
      <c r="E1048" s="10"/>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row>
    <row r="1049">
      <c r="A1049" s="11"/>
      <c r="B1049" s="11"/>
      <c r="C1049" s="11"/>
      <c r="D1049" s="11"/>
      <c r="E1049" s="10"/>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row>
    <row r="1050">
      <c r="A1050" s="11"/>
      <c r="B1050" s="11"/>
      <c r="C1050" s="11"/>
      <c r="D1050" s="11"/>
      <c r="E1050" s="10"/>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row>
    <row r="1051">
      <c r="A1051" s="11"/>
      <c r="B1051" s="11"/>
      <c r="C1051" s="11"/>
      <c r="D1051" s="11"/>
      <c r="E1051" s="10"/>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row>
    <row r="1052">
      <c r="A1052" s="11"/>
      <c r="B1052" s="11"/>
      <c r="C1052" s="11"/>
      <c r="D1052" s="11"/>
      <c r="E1052" s="10"/>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row>
    <row r="1053">
      <c r="A1053" s="11"/>
      <c r="B1053" s="11"/>
      <c r="C1053" s="11"/>
      <c r="D1053" s="11"/>
      <c r="E1053" s="10"/>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row>
    <row r="1054">
      <c r="A1054" s="11"/>
      <c r="B1054" s="11"/>
      <c r="C1054" s="11"/>
      <c r="D1054" s="11"/>
      <c r="E1054" s="10"/>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row>
    <row r="1055">
      <c r="A1055" s="11"/>
      <c r="B1055" s="11"/>
      <c r="C1055" s="11"/>
      <c r="D1055" s="11"/>
      <c r="E1055" s="10"/>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row>
    <row r="1056">
      <c r="A1056" s="11"/>
      <c r="B1056" s="11"/>
      <c r="C1056" s="11"/>
      <c r="D1056" s="11"/>
      <c r="E1056" s="10"/>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row>
    <row r="1057">
      <c r="A1057" s="11"/>
      <c r="B1057" s="11"/>
      <c r="C1057" s="11"/>
      <c r="D1057" s="11"/>
      <c r="E1057" s="10"/>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row>
    <row r="1058">
      <c r="A1058" s="11"/>
      <c r="B1058" s="11"/>
      <c r="C1058" s="11"/>
      <c r="D1058" s="11"/>
      <c r="E1058" s="10"/>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row>
    <row r="1059">
      <c r="A1059" s="11"/>
      <c r="B1059" s="11"/>
      <c r="C1059" s="11"/>
      <c r="D1059" s="11"/>
      <c r="E1059" s="10"/>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row>
    <row r="1060">
      <c r="A1060" s="11"/>
      <c r="B1060" s="11"/>
      <c r="C1060" s="11"/>
      <c r="D1060" s="11"/>
      <c r="E1060" s="10"/>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row>
    <row r="1061">
      <c r="A1061" s="11"/>
      <c r="B1061" s="11"/>
      <c r="C1061" s="11"/>
      <c r="D1061" s="11"/>
      <c r="E1061" s="10"/>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row>
    <row r="1062">
      <c r="A1062" s="11"/>
      <c r="B1062" s="11"/>
      <c r="C1062" s="11"/>
      <c r="D1062" s="11"/>
      <c r="E1062" s="10"/>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row>
    <row r="1063">
      <c r="A1063" s="11"/>
      <c r="B1063" s="11"/>
      <c r="C1063" s="11"/>
      <c r="D1063" s="11"/>
      <c r="E1063" s="10"/>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row>
    <row r="1064">
      <c r="A1064" s="11"/>
      <c r="B1064" s="11"/>
      <c r="C1064" s="11"/>
      <c r="D1064" s="11"/>
      <c r="E1064" s="10"/>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row>
    <row r="1065">
      <c r="A1065" s="11"/>
      <c r="B1065" s="11"/>
      <c r="C1065" s="11"/>
      <c r="D1065" s="11"/>
      <c r="E1065" s="10"/>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row>
    <row r="1066">
      <c r="A1066" s="11"/>
      <c r="B1066" s="11"/>
      <c r="C1066" s="11"/>
      <c r="D1066" s="11"/>
      <c r="E1066" s="10"/>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row>
    <row r="1067">
      <c r="A1067" s="11"/>
      <c r="B1067" s="11"/>
      <c r="C1067" s="11"/>
      <c r="D1067" s="11"/>
      <c r="E1067" s="10"/>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row>
    <row r="1068">
      <c r="A1068" s="11"/>
      <c r="B1068" s="11"/>
      <c r="C1068" s="11"/>
      <c r="D1068" s="11"/>
      <c r="E1068" s="10"/>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row>
    <row r="1069">
      <c r="A1069" s="11"/>
      <c r="B1069" s="11"/>
      <c r="C1069" s="11"/>
      <c r="D1069" s="11"/>
      <c r="E1069" s="10"/>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row>
    <row r="1070">
      <c r="A1070" s="11"/>
      <c r="B1070" s="11"/>
      <c r="C1070" s="11"/>
      <c r="D1070" s="11"/>
      <c r="E1070" s="10"/>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row>
    <row r="1071">
      <c r="A1071" s="11"/>
      <c r="B1071" s="11"/>
      <c r="C1071" s="11"/>
      <c r="D1071" s="11"/>
      <c r="E1071" s="10"/>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row>
    <row r="1072">
      <c r="A1072" s="11"/>
      <c r="B1072" s="11"/>
      <c r="C1072" s="11"/>
      <c r="D1072" s="11"/>
      <c r="E1072" s="10"/>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row>
    <row r="1073">
      <c r="A1073" s="11"/>
      <c r="B1073" s="11"/>
      <c r="C1073" s="11"/>
      <c r="D1073" s="11"/>
      <c r="E1073" s="10"/>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row>
    <row r="1074">
      <c r="A1074" s="11"/>
      <c r="B1074" s="11"/>
      <c r="C1074" s="11"/>
      <c r="D1074" s="11"/>
      <c r="E1074" s="10"/>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row>
    <row r="1075">
      <c r="A1075" s="11"/>
      <c r="B1075" s="11"/>
      <c r="C1075" s="11"/>
      <c r="D1075" s="11"/>
      <c r="E1075" s="10"/>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row>
    <row r="1076">
      <c r="A1076" s="11"/>
      <c r="B1076" s="11"/>
      <c r="C1076" s="11"/>
      <c r="D1076" s="11"/>
      <c r="E1076" s="10"/>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row>
    <row r="1077">
      <c r="A1077" s="11"/>
      <c r="B1077" s="11"/>
      <c r="C1077" s="11"/>
      <c r="D1077" s="11"/>
      <c r="E1077" s="10"/>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row>
    <row r="1078">
      <c r="A1078" s="11"/>
      <c r="B1078" s="11"/>
      <c r="C1078" s="11"/>
      <c r="D1078" s="11"/>
      <c r="E1078" s="10"/>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row>
    <row r="1079">
      <c r="A1079" s="11"/>
      <c r="B1079" s="11"/>
      <c r="C1079" s="11"/>
      <c r="D1079" s="11"/>
      <c r="E1079" s="10"/>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row>
    <row r="1080">
      <c r="A1080" s="11"/>
      <c r="B1080" s="11"/>
      <c r="C1080" s="11"/>
      <c r="D1080" s="11"/>
      <c r="E1080" s="10"/>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row>
    <row r="1081">
      <c r="A1081" s="11"/>
      <c r="B1081" s="11"/>
      <c r="C1081" s="11"/>
      <c r="D1081" s="11"/>
      <c r="E1081" s="10"/>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row>
    <row r="1082">
      <c r="A1082" s="11"/>
      <c r="B1082" s="11"/>
      <c r="C1082" s="11"/>
      <c r="D1082" s="11"/>
      <c r="E1082" s="10"/>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row>
    <row r="1083">
      <c r="A1083" s="11"/>
      <c r="B1083" s="11"/>
      <c r="C1083" s="11"/>
      <c r="D1083" s="11"/>
      <c r="E1083" s="10"/>
      <c r="F1083" s="11"/>
      <c r="G1083" s="11"/>
      <c r="H1083" s="11"/>
      <c r="I1083" s="11"/>
      <c r="J1083" s="11"/>
      <c r="K1083" s="11"/>
      <c r="L1083" s="11"/>
      <c r="M1083" s="11"/>
      <c r="N1083" s="11"/>
      <c r="O1083" s="11"/>
      <c r="P1083" s="11"/>
      <c r="Q1083" s="11"/>
      <c r="R1083" s="11"/>
      <c r="S1083" s="11"/>
      <c r="T1083" s="11"/>
      <c r="U1083" s="11"/>
      <c r="V1083" s="11"/>
      <c r="W1083" s="11"/>
      <c r="X1083" s="11"/>
      <c r="Y1083" s="11"/>
      <c r="Z1083" s="11"/>
      <c r="AA1083" s="11"/>
    </row>
    <row r="1084">
      <c r="A1084" s="11"/>
      <c r="B1084" s="11"/>
      <c r="C1084" s="11"/>
      <c r="D1084" s="11"/>
      <c r="E1084" s="10"/>
      <c r="F1084" s="11"/>
      <c r="G1084" s="11"/>
      <c r="H1084" s="11"/>
      <c r="I1084" s="11"/>
      <c r="J1084" s="11"/>
      <c r="K1084" s="11"/>
      <c r="L1084" s="11"/>
      <c r="M1084" s="11"/>
      <c r="N1084" s="11"/>
      <c r="O1084" s="11"/>
      <c r="P1084" s="11"/>
      <c r="Q1084" s="11"/>
      <c r="R1084" s="11"/>
      <c r="S1084" s="11"/>
      <c r="T1084" s="11"/>
      <c r="U1084" s="11"/>
      <c r="V1084" s="11"/>
      <c r="W1084" s="11"/>
      <c r="X1084" s="11"/>
      <c r="Y1084" s="11"/>
      <c r="Z1084" s="11"/>
      <c r="AA1084" s="11"/>
    </row>
    <row r="1085">
      <c r="A1085" s="11"/>
      <c r="B1085" s="11"/>
      <c r="C1085" s="11"/>
      <c r="D1085" s="11"/>
      <c r="E1085" s="10"/>
      <c r="F1085" s="11"/>
      <c r="G1085" s="11"/>
      <c r="H1085" s="11"/>
      <c r="I1085" s="11"/>
      <c r="J1085" s="11"/>
      <c r="K1085" s="11"/>
      <c r="L1085" s="11"/>
      <c r="M1085" s="11"/>
      <c r="N1085" s="11"/>
      <c r="O1085" s="11"/>
      <c r="P1085" s="11"/>
      <c r="Q1085" s="11"/>
      <c r="R1085" s="11"/>
      <c r="S1085" s="11"/>
      <c r="T1085" s="11"/>
      <c r="U1085" s="11"/>
      <c r="V1085" s="11"/>
      <c r="W1085" s="11"/>
      <c r="X1085" s="11"/>
      <c r="Y1085" s="11"/>
      <c r="Z1085" s="11"/>
      <c r="AA1085" s="11"/>
    </row>
    <row r="1086">
      <c r="A1086" s="11"/>
      <c r="B1086" s="11"/>
      <c r="C1086" s="11"/>
      <c r="D1086" s="11"/>
      <c r="E1086" s="10"/>
      <c r="F1086" s="11"/>
      <c r="G1086" s="11"/>
      <c r="H1086" s="11"/>
      <c r="I1086" s="11"/>
      <c r="J1086" s="11"/>
      <c r="K1086" s="11"/>
      <c r="L1086" s="11"/>
      <c r="M1086" s="11"/>
      <c r="N1086" s="11"/>
      <c r="O1086" s="11"/>
      <c r="P1086" s="11"/>
      <c r="Q1086" s="11"/>
      <c r="R1086" s="11"/>
      <c r="S1086" s="11"/>
      <c r="T1086" s="11"/>
      <c r="U1086" s="11"/>
      <c r="V1086" s="11"/>
      <c r="W1086" s="11"/>
      <c r="X1086" s="11"/>
      <c r="Y1086" s="11"/>
      <c r="Z1086" s="11"/>
      <c r="AA1086" s="11"/>
    </row>
    <row r="1087">
      <c r="A1087" s="11"/>
      <c r="B1087" s="11"/>
      <c r="C1087" s="11"/>
      <c r="D1087" s="11"/>
      <c r="E1087" s="10"/>
      <c r="F1087" s="11"/>
      <c r="G1087" s="11"/>
      <c r="H1087" s="11"/>
      <c r="I1087" s="11"/>
      <c r="J1087" s="11"/>
      <c r="K1087" s="11"/>
      <c r="L1087" s="11"/>
      <c r="M1087" s="11"/>
      <c r="N1087" s="11"/>
      <c r="O1087" s="11"/>
      <c r="P1087" s="11"/>
      <c r="Q1087" s="11"/>
      <c r="R1087" s="11"/>
      <c r="S1087" s="11"/>
      <c r="T1087" s="11"/>
      <c r="U1087" s="11"/>
      <c r="V1087" s="11"/>
      <c r="W1087" s="11"/>
      <c r="X1087" s="11"/>
      <c r="Y1087" s="11"/>
      <c r="Z1087" s="11"/>
      <c r="AA1087" s="11"/>
    </row>
    <row r="1088">
      <c r="A1088" s="11"/>
      <c r="B1088" s="11"/>
      <c r="C1088" s="11"/>
      <c r="D1088" s="11"/>
      <c r="E1088" s="10"/>
      <c r="F1088" s="11"/>
      <c r="G1088" s="11"/>
      <c r="H1088" s="11"/>
      <c r="I1088" s="11"/>
      <c r="J1088" s="11"/>
      <c r="K1088" s="11"/>
      <c r="L1088" s="11"/>
      <c r="M1088" s="11"/>
      <c r="N1088" s="11"/>
      <c r="O1088" s="11"/>
      <c r="P1088" s="11"/>
      <c r="Q1088" s="11"/>
      <c r="R1088" s="11"/>
      <c r="S1088" s="11"/>
      <c r="T1088" s="11"/>
      <c r="U1088" s="11"/>
      <c r="V1088" s="11"/>
      <c r="W1088" s="11"/>
      <c r="X1088" s="11"/>
      <c r="Y1088" s="11"/>
      <c r="Z1088" s="11"/>
      <c r="AA1088" s="11"/>
    </row>
    <row r="1089">
      <c r="A1089" s="11"/>
      <c r="B1089" s="11"/>
      <c r="C1089" s="11"/>
      <c r="D1089" s="11"/>
      <c r="E1089" s="10"/>
      <c r="F1089" s="11"/>
      <c r="G1089" s="11"/>
      <c r="H1089" s="11"/>
      <c r="I1089" s="11"/>
      <c r="J1089" s="11"/>
      <c r="K1089" s="11"/>
      <c r="L1089" s="11"/>
      <c r="M1089" s="11"/>
      <c r="N1089" s="11"/>
      <c r="O1089" s="11"/>
      <c r="P1089" s="11"/>
      <c r="Q1089" s="11"/>
      <c r="R1089" s="11"/>
      <c r="S1089" s="11"/>
      <c r="T1089" s="11"/>
      <c r="U1089" s="11"/>
      <c r="V1089" s="11"/>
      <c r="W1089" s="11"/>
      <c r="X1089" s="11"/>
      <c r="Y1089" s="11"/>
      <c r="Z1089" s="11"/>
      <c r="AA1089" s="11"/>
    </row>
    <row r="1090">
      <c r="A1090" s="11"/>
      <c r="B1090" s="11"/>
      <c r="C1090" s="11"/>
      <c r="D1090" s="11"/>
      <c r="E1090" s="10"/>
      <c r="F1090" s="11"/>
      <c r="G1090" s="11"/>
      <c r="H1090" s="11"/>
      <c r="I1090" s="11"/>
      <c r="J1090" s="11"/>
      <c r="K1090" s="11"/>
      <c r="L1090" s="11"/>
      <c r="M1090" s="11"/>
      <c r="N1090" s="11"/>
      <c r="O1090" s="11"/>
      <c r="P1090" s="11"/>
      <c r="Q1090" s="11"/>
      <c r="R1090" s="11"/>
      <c r="S1090" s="11"/>
      <c r="T1090" s="11"/>
      <c r="U1090" s="11"/>
      <c r="V1090" s="11"/>
      <c r="W1090" s="11"/>
      <c r="X1090" s="11"/>
      <c r="Y1090" s="11"/>
      <c r="Z1090" s="11"/>
      <c r="AA1090" s="11"/>
    </row>
    <row r="1091">
      <c r="A1091" s="11"/>
      <c r="B1091" s="11"/>
      <c r="C1091" s="11"/>
      <c r="D1091" s="11"/>
      <c r="E1091" s="10"/>
      <c r="F1091" s="11"/>
      <c r="G1091" s="11"/>
      <c r="H1091" s="11"/>
      <c r="I1091" s="11"/>
      <c r="J1091" s="11"/>
      <c r="K1091" s="11"/>
      <c r="L1091" s="11"/>
      <c r="M1091" s="11"/>
      <c r="N1091" s="11"/>
      <c r="O1091" s="11"/>
      <c r="P1091" s="11"/>
      <c r="Q1091" s="11"/>
      <c r="R1091" s="11"/>
      <c r="S1091" s="11"/>
      <c r="T1091" s="11"/>
      <c r="U1091" s="11"/>
      <c r="V1091" s="11"/>
      <c r="W1091" s="11"/>
      <c r="X1091" s="11"/>
      <c r="Y1091" s="11"/>
      <c r="Z1091" s="11"/>
      <c r="AA1091" s="11"/>
    </row>
    <row r="1092">
      <c r="A1092" s="11"/>
      <c r="B1092" s="11"/>
      <c r="C1092" s="11"/>
      <c r="D1092" s="11"/>
      <c r="E1092" s="10"/>
      <c r="F1092" s="11"/>
      <c r="G1092" s="11"/>
      <c r="H1092" s="11"/>
      <c r="I1092" s="11"/>
      <c r="J1092" s="11"/>
      <c r="K1092" s="11"/>
      <c r="L1092" s="11"/>
      <c r="M1092" s="11"/>
      <c r="N1092" s="11"/>
      <c r="O1092" s="11"/>
      <c r="P1092" s="11"/>
      <c r="Q1092" s="11"/>
      <c r="R1092" s="11"/>
      <c r="S1092" s="11"/>
      <c r="T1092" s="11"/>
      <c r="U1092" s="11"/>
      <c r="V1092" s="11"/>
      <c r="W1092" s="11"/>
      <c r="X1092" s="11"/>
      <c r="Y1092" s="11"/>
      <c r="Z1092" s="11"/>
      <c r="AA1092" s="11"/>
    </row>
    <row r="1093">
      <c r="A1093" s="11"/>
      <c r="B1093" s="11"/>
      <c r="C1093" s="11"/>
      <c r="D1093" s="11"/>
      <c r="E1093" s="10"/>
      <c r="F1093" s="11"/>
      <c r="G1093" s="11"/>
      <c r="H1093" s="11"/>
      <c r="I1093" s="11"/>
      <c r="J1093" s="11"/>
      <c r="K1093" s="11"/>
      <c r="L1093" s="11"/>
      <c r="M1093" s="11"/>
      <c r="N1093" s="11"/>
      <c r="O1093" s="11"/>
      <c r="P1093" s="11"/>
      <c r="Q1093" s="11"/>
      <c r="R1093" s="11"/>
      <c r="S1093" s="11"/>
      <c r="T1093" s="11"/>
      <c r="U1093" s="11"/>
      <c r="V1093" s="11"/>
      <c r="W1093" s="11"/>
      <c r="X1093" s="11"/>
      <c r="Y1093" s="11"/>
      <c r="Z1093" s="11"/>
      <c r="AA1093" s="11"/>
    </row>
    <row r="1094">
      <c r="A1094" s="11"/>
      <c r="B1094" s="11"/>
      <c r="C1094" s="11"/>
      <c r="D1094" s="11"/>
      <c r="E1094" s="10"/>
      <c r="F1094" s="11"/>
      <c r="G1094" s="11"/>
      <c r="H1094" s="11"/>
      <c r="I1094" s="11"/>
      <c r="J1094" s="11"/>
      <c r="K1094" s="11"/>
      <c r="L1094" s="11"/>
      <c r="M1094" s="11"/>
      <c r="N1094" s="11"/>
      <c r="O1094" s="11"/>
      <c r="P1094" s="11"/>
      <c r="Q1094" s="11"/>
      <c r="R1094" s="11"/>
      <c r="S1094" s="11"/>
      <c r="T1094" s="11"/>
      <c r="U1094" s="11"/>
      <c r="V1094" s="11"/>
      <c r="W1094" s="11"/>
      <c r="X1094" s="11"/>
      <c r="Y1094" s="11"/>
      <c r="Z1094" s="11"/>
      <c r="AA1094" s="11"/>
    </row>
  </sheetData>
  <mergeCells count="16">
    <mergeCell ref="B1:C1"/>
    <mergeCell ref="B2:C2"/>
    <mergeCell ref="B3:C3"/>
    <mergeCell ref="B4:C4"/>
    <mergeCell ref="B5:C5"/>
    <mergeCell ref="B6:C6"/>
    <mergeCell ref="B7:C7"/>
    <mergeCell ref="B87:K87"/>
    <mergeCell ref="B99:K99"/>
    <mergeCell ref="B8:C8"/>
    <mergeCell ref="B11:K11"/>
    <mergeCell ref="B21:K21"/>
    <mergeCell ref="B22:K22"/>
    <mergeCell ref="B44:K44"/>
    <mergeCell ref="B51:K51"/>
    <mergeCell ref="B66:K66"/>
  </mergeCells>
  <dataValidations>
    <dataValidation type="list" allowBlank="1" showErrorMessage="1" sqref="I12:I20 I23:I43 I45:I50 I52:I65 I67:I86 I88:I98 I100:I114">
      <formula1>"Pass,Fail,Untested,Drop,Pending"</formula1>
    </dataValidation>
    <dataValidation type="list" allowBlank="1" showErrorMessage="1" sqref="E12:E20 E23:E43 E45:E50 E52:E65 E67:E86 E88:E98 E100:E114">
      <formula1>"Cao,TB,Thấp"</formula1>
    </dataValidation>
  </dataValidations>
  <drawing r:id="rId1"/>
</worksheet>
</file>